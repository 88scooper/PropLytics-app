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u/Desktop/Proplytics-React/Mock Data/"/>
    </mc:Choice>
  </mc:AlternateContent>
  <xr:revisionPtr revIDLastSave="0" documentId="13_ncr:1_{1D2A91AF-1D1E-4D44-B1DD-B67CD78F3731}" xr6:coauthVersionLast="47" xr6:coauthVersionMax="47" xr10:uidLastSave="{00000000-0000-0000-0000-000000000000}"/>
  <bookViews>
    <workbookView xWindow="-20" yWindow="500" windowWidth="28800" windowHeight="16320" activeTab="6" xr2:uid="{2CFC5135-D137-2149-BA1C-73C8B0F38B27}"/>
    <workbookView xWindow="28800" yWindow="-1460" windowWidth="38400" windowHeight="19920" activeTab="3" xr2:uid="{2467EDC7-EC07-5D46-A333-E976DE4D53E1}"/>
  </bookViews>
  <sheets>
    <sheet name="403-311 Richmond St E" sheetId="1" r:id="rId1"/>
    <sheet name="317-30 Tretti Way" sheetId="2" r:id="rId2"/>
    <sheet name="415-500 Wilson Ave" sheetId="3" r:id="rId3"/>
    <sheet name="First St" sheetId="4" r:id="rId4"/>
    <sheet name="Second Dr" sheetId="7" r:id="rId5"/>
    <sheet name="First St - Mortgage" sheetId="6" r:id="rId6"/>
    <sheet name="Second Dr - Mortgage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8" i="6" l="1"/>
  <c r="G38" i="6"/>
  <c r="H26" i="6"/>
  <c r="G26" i="6"/>
  <c r="H14" i="6"/>
  <c r="G14" i="6"/>
  <c r="H62" i="8"/>
  <c r="G62" i="8"/>
  <c r="H50" i="8"/>
  <c r="G50" i="8"/>
  <c r="H38" i="8"/>
  <c r="G38" i="8"/>
  <c r="H26" i="8"/>
  <c r="G26" i="8"/>
  <c r="G14" i="8"/>
  <c r="H14" i="8"/>
  <c r="D47" i="7"/>
  <c r="E47" i="7" s="1"/>
  <c r="F47" i="7" s="1"/>
  <c r="G47" i="7" s="1"/>
  <c r="D42" i="7"/>
  <c r="E42" i="7" s="1"/>
  <c r="F42" i="7" s="1"/>
  <c r="G42" i="7" s="1"/>
  <c r="D41" i="7"/>
  <c r="E41" i="7" s="1"/>
  <c r="F41" i="7" s="1"/>
  <c r="G41" i="7" s="1"/>
  <c r="E39" i="7"/>
  <c r="C39" i="7"/>
  <c r="C49" i="7" s="1"/>
  <c r="D36" i="7"/>
  <c r="E36" i="7" s="1"/>
  <c r="F32" i="7"/>
  <c r="G32" i="7" s="1"/>
  <c r="D32" i="7"/>
  <c r="D47" i="4"/>
  <c r="E47" i="4" s="1"/>
  <c r="F47" i="4" s="1"/>
  <c r="G47" i="4" s="1"/>
  <c r="D42" i="4"/>
  <c r="E42" i="4" s="1"/>
  <c r="F42" i="4" s="1"/>
  <c r="G42" i="4" s="1"/>
  <c r="D41" i="4"/>
  <c r="E41" i="4" s="1"/>
  <c r="F41" i="4" s="1"/>
  <c r="G41" i="4" s="1"/>
  <c r="E39" i="4"/>
  <c r="D36" i="4"/>
  <c r="E36" i="4" s="1"/>
  <c r="F36" i="4" s="1"/>
  <c r="G36" i="4" s="1"/>
  <c r="C39" i="4"/>
  <c r="C49" i="4" s="1"/>
  <c r="E48" i="1"/>
  <c r="F32" i="4"/>
  <c r="G32" i="4" s="1"/>
  <c r="D32" i="4"/>
  <c r="D49" i="3"/>
  <c r="C49" i="3"/>
  <c r="D49" i="7" l="1"/>
  <c r="F36" i="7"/>
  <c r="E49" i="7"/>
  <c r="D49" i="4"/>
  <c r="E49" i="4"/>
  <c r="G49" i="4"/>
  <c r="F49" i="4"/>
  <c r="D49" i="2"/>
  <c r="E49" i="2"/>
  <c r="C49" i="2"/>
  <c r="E49" i="1"/>
  <c r="D49" i="1"/>
  <c r="C49" i="1"/>
  <c r="G36" i="7" l="1"/>
  <c r="G49" i="7" s="1"/>
  <c r="F49" i="7"/>
  <c r="K34" i="1"/>
</calcChain>
</file>

<file path=xl/sharedStrings.xml><?xml version="1.0" encoding="utf-8"?>
<sst xmlns="http://schemas.openxmlformats.org/spreadsheetml/2006/main" count="376" uniqueCount="100">
  <si>
    <t>Street</t>
  </si>
  <si>
    <t>Unit</t>
  </si>
  <si>
    <t>City</t>
  </si>
  <si>
    <t>Postal Code</t>
  </si>
  <si>
    <t>Address</t>
  </si>
  <si>
    <t>Richmond Street East</t>
  </si>
  <si>
    <t>Property Type</t>
  </si>
  <si>
    <t>Condo</t>
  </si>
  <si>
    <t>Toronto</t>
  </si>
  <si>
    <t>M5A4S8</t>
  </si>
  <si>
    <t>Tretti Way</t>
  </si>
  <si>
    <t>Current Estimated Market Value</t>
  </si>
  <si>
    <t>Purchase Price</t>
  </si>
  <si>
    <t>Insurance</t>
  </si>
  <si>
    <t>Rent</t>
  </si>
  <si>
    <t>Annual Expenses</t>
  </si>
  <si>
    <t>Year Built</t>
  </si>
  <si>
    <t>2 Bed,  2 Bath</t>
  </si>
  <si>
    <t>Number</t>
  </si>
  <si>
    <t>Closing Costs</t>
  </si>
  <si>
    <t>Closing Date</t>
  </si>
  <si>
    <t>M3H0E3</t>
  </si>
  <si>
    <t>Wilson Ave</t>
  </si>
  <si>
    <t>M3H 0E5</t>
  </si>
  <si>
    <t>Tenant Names</t>
  </si>
  <si>
    <t>Pratikkumar Chaudary</t>
  </si>
  <si>
    <t>Steve MacNeil, Kate St John</t>
  </si>
  <si>
    <t>Property Summary</t>
  </si>
  <si>
    <t>Annual Income</t>
  </si>
  <si>
    <t>Renovation Costs</t>
  </si>
  <si>
    <t>Marci Graore</t>
  </si>
  <si>
    <t>Property Details</t>
  </si>
  <si>
    <t>Tenancy Start Date</t>
  </si>
  <si>
    <t>Tenancy End Date</t>
  </si>
  <si>
    <t>Tenant History</t>
  </si>
  <si>
    <t>Name</t>
  </si>
  <si>
    <t>Current Tenant Details</t>
  </si>
  <si>
    <t>Mortgage (Principal)</t>
  </si>
  <si>
    <t>Utilities</t>
  </si>
  <si>
    <t>Advertising</t>
  </si>
  <si>
    <t>Interest &amp; Bank Charges</t>
  </si>
  <si>
    <t>Office Expenses</t>
  </si>
  <si>
    <t>Professional Fees</t>
  </si>
  <si>
    <t>Management &amp; Administration</t>
  </si>
  <si>
    <t>Repairs &amp; Maintenance</t>
  </si>
  <si>
    <t>Property Taxes</t>
  </si>
  <si>
    <t>Travel</t>
  </si>
  <si>
    <t>Motor Vehicle Expenses</t>
  </si>
  <si>
    <t>Other Rental Expenses</t>
  </si>
  <si>
    <t>TOTAL</t>
  </si>
  <si>
    <t>Condo Maintenance Fees</t>
  </si>
  <si>
    <t>2 Bed, Den, 2 Bath</t>
  </si>
  <si>
    <t>Unit Type</t>
  </si>
  <si>
    <t>Size (SF)</t>
  </si>
  <si>
    <t>Active</t>
  </si>
  <si>
    <t>2 Bed, 2 Bath</t>
  </si>
  <si>
    <t>Honey Goyal</t>
  </si>
  <si>
    <t>Aanal Shah, Kavya Gandhi, Parth Patel</t>
  </si>
  <si>
    <t>Lender Name</t>
  </si>
  <si>
    <t>Original Loan Amount</t>
  </si>
  <si>
    <t>Rate Type</t>
  </si>
  <si>
    <t>Amortization Period</t>
  </si>
  <si>
    <t>Term</t>
  </si>
  <si>
    <t xml:space="preserve">Start Date </t>
  </si>
  <si>
    <t>Payment Frequency</t>
  </si>
  <si>
    <t>RMG</t>
  </si>
  <si>
    <t>Mortgage Details</t>
  </si>
  <si>
    <t>RBC</t>
  </si>
  <si>
    <t>Fixed</t>
  </si>
  <si>
    <t>Monthly</t>
  </si>
  <si>
    <t>Interest Rate</t>
  </si>
  <si>
    <t>361 months</t>
  </si>
  <si>
    <t>60 months</t>
  </si>
  <si>
    <t>36 months</t>
  </si>
  <si>
    <t>360 months</t>
  </si>
  <si>
    <t>Variable</t>
  </si>
  <si>
    <t>TD Bank</t>
  </si>
  <si>
    <t>48 months</t>
  </si>
  <si>
    <t>Wilson Avenue</t>
  </si>
  <si>
    <t>M3H0E5</t>
  </si>
  <si>
    <t>300 months</t>
  </si>
  <si>
    <t>Bi-weekly</t>
  </si>
  <si>
    <t>239  months</t>
  </si>
  <si>
    <t>Type</t>
  </si>
  <si>
    <t>Closed</t>
  </si>
  <si>
    <t>Fixed Payments</t>
  </si>
  <si>
    <t>Yes</t>
  </si>
  <si>
    <t>No</t>
  </si>
  <si>
    <t xml:space="preserve">Toronto </t>
  </si>
  <si>
    <t>Jane Doe</t>
  </si>
  <si>
    <t>First St</t>
  </si>
  <si>
    <t>1A1 A1A</t>
  </si>
  <si>
    <t>Jon Doe</t>
  </si>
  <si>
    <t>Lender 1</t>
  </si>
  <si>
    <t>Period</t>
  </si>
  <si>
    <t>Payment</t>
  </si>
  <si>
    <t>Principal</t>
  </si>
  <si>
    <t>Interest</t>
  </si>
  <si>
    <t>Balance</t>
  </si>
  <si>
    <t>Lender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</si>
</sst>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3" formatCode="_(* #,##0.00_);_(* \(#,##0.00\);_(* &quot;-&quot;??_);_(@_)"/>
    <numFmt numFmtId="164" formatCode="_-* #,##0.00_-;\-* #,##0.00_-;_-* &quot;-&quot;??_-;_-@_-"/>
    <numFmt numFmtId="173" formatCode="_(* #,##0_);_(* \(#,##0\);_(* &quot;-&quot;??_);_(@_)"/>
  </numFmts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4"/>
      <color rgb="FF1A1A1A"/>
      <name val="Arial"/>
      <family val="2"/>
    </font>
    <font>
      <sz val="14"/>
      <color rgb="FF1A1A1A"/>
      <name val="Arial"/>
      <family val="2"/>
    </font>
    <font>
      <b/>
      <sz val="14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15" fontId="0" fillId="0" borderId="0" xfId="0" applyNumberFormat="1" applyAlignment="1">
      <alignment horizontal="right"/>
    </xf>
    <xf numFmtId="15" fontId="0" fillId="0" borderId="0" xfId="0" applyNumberFormat="1"/>
    <xf numFmtId="0" fontId="1" fillId="0" borderId="0" xfId="0" applyFont="1" applyAlignment="1">
      <alignment horizontal="center"/>
    </xf>
    <xf numFmtId="0" fontId="0" fillId="2" borderId="0" xfId="0" applyFill="1"/>
    <xf numFmtId="0" fontId="0" fillId="0" borderId="0" xfId="0" applyAlignment="1">
      <alignment horizontal="left"/>
    </xf>
    <xf numFmtId="0" fontId="0" fillId="0" borderId="0" xfId="0" applyFill="1" applyAlignment="1">
      <alignment horizontal="right"/>
    </xf>
    <xf numFmtId="164" fontId="4" fillId="0" borderId="0" xfId="1" applyFont="1"/>
    <xf numFmtId="3" fontId="0" fillId="0" borderId="0" xfId="0" applyNumberFormat="1"/>
    <xf numFmtId="17" fontId="0" fillId="0" borderId="0" xfId="0" applyNumberFormat="1"/>
    <xf numFmtId="0" fontId="0" fillId="0" borderId="0" xfId="0" applyFill="1"/>
    <xf numFmtId="0" fontId="1" fillId="0" borderId="0" xfId="0" applyFont="1" applyAlignment="1">
      <alignment horizontal="right"/>
    </xf>
    <xf numFmtId="1" fontId="0" fillId="0" borderId="0" xfId="0" applyNumberFormat="1"/>
    <xf numFmtId="173" fontId="1" fillId="0" borderId="0" xfId="2" applyNumberFormat="1" applyFont="1"/>
    <xf numFmtId="0" fontId="5" fillId="0" borderId="0" xfId="0" applyFont="1"/>
    <xf numFmtId="8" fontId="0" fillId="0" borderId="0" xfId="0" applyNumberFormat="1"/>
    <xf numFmtId="8" fontId="6" fillId="0" borderId="0" xfId="0" applyNumberFormat="1" applyFont="1"/>
    <xf numFmtId="0" fontId="7" fillId="0" borderId="0" xfId="0" applyFont="1"/>
    <xf numFmtId="8" fontId="6" fillId="2" borderId="0" xfId="0" applyNumberFormat="1" applyFont="1" applyFill="1"/>
    <xf numFmtId="8" fontId="6" fillId="3" borderId="0" xfId="0" applyNumberFormat="1" applyFont="1" applyFill="1"/>
    <xf numFmtId="8" fontId="6" fillId="4" borderId="0" xfId="0" applyNumberFormat="1" applyFont="1" applyFill="1"/>
    <xf numFmtId="8" fontId="6" fillId="5" borderId="0" xfId="0" applyNumberFormat="1" applyFont="1" applyFill="1"/>
    <xf numFmtId="8" fontId="6" fillId="6" borderId="0" xfId="0" applyNumberFormat="1" applyFont="1" applyFill="1"/>
    <xf numFmtId="8" fontId="6" fillId="7" borderId="0" xfId="0" applyNumberFormat="1" applyFont="1" applyFill="1"/>
    <xf numFmtId="1" fontId="0" fillId="0" borderId="0" xfId="0" applyNumberFormat="1" applyFill="1"/>
  </cellXfs>
  <cellStyles count="3">
    <cellStyle name="Comma" xfId="2" builtinId="3"/>
    <cellStyle name="Comma 2" xfId="1" xr:uid="{DAAA7E59-7C9B-7347-885F-76EF2117636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F6B66-72DA-B344-BBEE-D6106FF239D8}">
  <dimension ref="B2:L63"/>
  <sheetViews>
    <sheetView topLeftCell="A20" workbookViewId="0">
      <selection activeCell="E32" sqref="E32"/>
    </sheetView>
    <sheetView workbookViewId="1"/>
  </sheetViews>
  <sheetFormatPr baseColWidth="10" defaultRowHeight="16" x14ac:dyDescent="0.2"/>
  <cols>
    <col min="1" max="1" width="4.5" customWidth="1"/>
    <col min="2" max="2" width="32" customWidth="1"/>
    <col min="3" max="3" width="19" style="2" bestFit="1" customWidth="1"/>
    <col min="4" max="4" width="27.33203125" customWidth="1"/>
    <col min="5" max="5" width="26.33203125" customWidth="1"/>
  </cols>
  <sheetData>
    <row r="2" spans="2:12" x14ac:dyDescent="0.2">
      <c r="B2" s="1" t="s">
        <v>27</v>
      </c>
    </row>
    <row r="4" spans="2:12" x14ac:dyDescent="0.2">
      <c r="B4" s="1" t="s">
        <v>4</v>
      </c>
    </row>
    <row r="5" spans="2:12" x14ac:dyDescent="0.2">
      <c r="B5" t="s">
        <v>0</v>
      </c>
      <c r="C5" s="2" t="s">
        <v>5</v>
      </c>
      <c r="K5" s="2" t="s">
        <v>10</v>
      </c>
      <c r="L5" s="2" t="s">
        <v>22</v>
      </c>
    </row>
    <row r="6" spans="2:12" x14ac:dyDescent="0.2">
      <c r="B6" t="s">
        <v>18</v>
      </c>
      <c r="C6" s="2">
        <v>311</v>
      </c>
      <c r="K6" s="2">
        <v>30</v>
      </c>
      <c r="L6" s="2">
        <v>500</v>
      </c>
    </row>
    <row r="7" spans="2:12" x14ac:dyDescent="0.2">
      <c r="B7" t="s">
        <v>1</v>
      </c>
      <c r="C7" s="2">
        <v>403</v>
      </c>
      <c r="K7" s="2">
        <v>317</v>
      </c>
      <c r="L7" s="2">
        <v>415</v>
      </c>
    </row>
    <row r="8" spans="2:12" x14ac:dyDescent="0.2">
      <c r="B8" t="s">
        <v>2</v>
      </c>
      <c r="C8" s="2" t="s">
        <v>8</v>
      </c>
      <c r="K8" s="2" t="s">
        <v>8</v>
      </c>
      <c r="L8" s="2" t="s">
        <v>8</v>
      </c>
    </row>
    <row r="9" spans="2:12" x14ac:dyDescent="0.2">
      <c r="B9" t="s">
        <v>3</v>
      </c>
      <c r="C9" s="2" t="s">
        <v>9</v>
      </c>
      <c r="K9" s="2" t="s">
        <v>21</v>
      </c>
      <c r="L9" s="2" t="s">
        <v>23</v>
      </c>
    </row>
    <row r="10" spans="2:12" x14ac:dyDescent="0.2">
      <c r="K10" s="2"/>
      <c r="L10" s="2"/>
    </row>
    <row r="11" spans="2:12" x14ac:dyDescent="0.2">
      <c r="B11" s="1" t="s">
        <v>31</v>
      </c>
      <c r="K11" s="2"/>
      <c r="L11" s="2"/>
    </row>
    <row r="12" spans="2:12" x14ac:dyDescent="0.2">
      <c r="B12" t="s">
        <v>12</v>
      </c>
      <c r="C12" s="2">
        <v>615000</v>
      </c>
      <c r="K12" s="2">
        <v>448618</v>
      </c>
      <c r="L12" s="2">
        <v>533379</v>
      </c>
    </row>
    <row r="13" spans="2:12" x14ac:dyDescent="0.2">
      <c r="B13" t="s">
        <v>19</v>
      </c>
      <c r="C13" s="2">
        <v>18150</v>
      </c>
      <c r="K13" s="2">
        <v>68086</v>
      </c>
      <c r="L13" s="2">
        <v>53241.9</v>
      </c>
    </row>
    <row r="14" spans="2:12" x14ac:dyDescent="0.2">
      <c r="B14" t="s">
        <v>20</v>
      </c>
      <c r="C14" s="3">
        <v>43500</v>
      </c>
      <c r="K14" s="3">
        <v>45203</v>
      </c>
      <c r="L14" s="3">
        <v>45679</v>
      </c>
    </row>
    <row r="15" spans="2:12" x14ac:dyDescent="0.2">
      <c r="B15" t="s">
        <v>29</v>
      </c>
      <c r="C15" s="2">
        <v>100000</v>
      </c>
      <c r="K15" s="3"/>
      <c r="L15" s="3"/>
    </row>
    <row r="16" spans="2:12" x14ac:dyDescent="0.2">
      <c r="B16" t="s">
        <v>11</v>
      </c>
      <c r="C16" s="2">
        <v>800000</v>
      </c>
      <c r="K16" s="2">
        <v>550000</v>
      </c>
      <c r="L16" s="2">
        <v>550000</v>
      </c>
    </row>
    <row r="17" spans="2:12" x14ac:dyDescent="0.2">
      <c r="B17" t="s">
        <v>16</v>
      </c>
      <c r="C17" s="2">
        <v>2001</v>
      </c>
      <c r="K17" s="2">
        <v>2023</v>
      </c>
      <c r="L17" s="2">
        <v>2025</v>
      </c>
    </row>
    <row r="18" spans="2:12" x14ac:dyDescent="0.2">
      <c r="B18" t="s">
        <v>6</v>
      </c>
      <c r="C18" s="2" t="s">
        <v>7</v>
      </c>
      <c r="K18" s="2" t="s">
        <v>7</v>
      </c>
      <c r="L18" s="2" t="s">
        <v>7</v>
      </c>
    </row>
    <row r="19" spans="2:12" x14ac:dyDescent="0.2">
      <c r="B19" t="s">
        <v>53</v>
      </c>
      <c r="C19" s="2">
        <v>946</v>
      </c>
      <c r="K19" s="2">
        <v>553</v>
      </c>
      <c r="L19" s="2">
        <v>557</v>
      </c>
    </row>
    <row r="20" spans="2:12" x14ac:dyDescent="0.2">
      <c r="B20" t="s">
        <v>52</v>
      </c>
      <c r="C20" s="2" t="s">
        <v>51</v>
      </c>
      <c r="K20" s="2" t="s">
        <v>17</v>
      </c>
      <c r="L20" s="2" t="s">
        <v>17</v>
      </c>
    </row>
    <row r="21" spans="2:12" x14ac:dyDescent="0.2">
      <c r="K21" s="2"/>
      <c r="L21" s="2"/>
    </row>
    <row r="22" spans="2:12" x14ac:dyDescent="0.2">
      <c r="B22" s="1" t="s">
        <v>36</v>
      </c>
      <c r="K22" s="2"/>
      <c r="L22" s="2"/>
    </row>
    <row r="23" spans="2:12" x14ac:dyDescent="0.2">
      <c r="B23" t="s">
        <v>35</v>
      </c>
      <c r="C23" s="2" t="s">
        <v>26</v>
      </c>
      <c r="K23" s="2"/>
      <c r="L23" s="2"/>
    </row>
    <row r="24" spans="2:12" x14ac:dyDescent="0.2">
      <c r="B24" t="s">
        <v>14</v>
      </c>
      <c r="C24" s="2">
        <v>3450</v>
      </c>
      <c r="K24" s="2"/>
      <c r="L24" s="2"/>
    </row>
    <row r="25" spans="2:12" x14ac:dyDescent="0.2">
      <c r="K25" s="2"/>
      <c r="L25" s="2"/>
    </row>
    <row r="26" spans="2:12" x14ac:dyDescent="0.2">
      <c r="B26" s="1" t="s">
        <v>34</v>
      </c>
      <c r="K26" s="2"/>
      <c r="L26" s="2"/>
    </row>
    <row r="27" spans="2:12" x14ac:dyDescent="0.2">
      <c r="B27" t="s">
        <v>24</v>
      </c>
      <c r="C27" s="2" t="s">
        <v>30</v>
      </c>
      <c r="D27" s="2" t="s">
        <v>26</v>
      </c>
      <c r="K27" s="2"/>
      <c r="L27" s="2"/>
    </row>
    <row r="28" spans="2:12" x14ac:dyDescent="0.2">
      <c r="B28" t="s">
        <v>32</v>
      </c>
      <c r="C28" s="3">
        <v>45261</v>
      </c>
      <c r="D28" s="3">
        <v>45704</v>
      </c>
      <c r="K28" s="2"/>
      <c r="L28" s="2"/>
    </row>
    <row r="29" spans="2:12" x14ac:dyDescent="0.2">
      <c r="B29" t="s">
        <v>33</v>
      </c>
      <c r="C29" s="3">
        <v>45703</v>
      </c>
      <c r="D29" s="2" t="s">
        <v>54</v>
      </c>
      <c r="K29" s="2"/>
      <c r="L29" s="2"/>
    </row>
    <row r="30" spans="2:12" x14ac:dyDescent="0.2">
      <c r="K30" s="2"/>
      <c r="L30" s="2"/>
    </row>
    <row r="31" spans="2:12" x14ac:dyDescent="0.2">
      <c r="B31" s="1" t="s">
        <v>28</v>
      </c>
      <c r="C31" s="5">
        <v>2023</v>
      </c>
      <c r="D31" s="5">
        <v>2024</v>
      </c>
      <c r="E31" s="5">
        <v>2025</v>
      </c>
      <c r="K31" s="2"/>
      <c r="L31" s="2"/>
    </row>
    <row r="32" spans="2:12" x14ac:dyDescent="0.2">
      <c r="B32" t="s">
        <v>14</v>
      </c>
      <c r="C32" s="2">
        <v>3350</v>
      </c>
      <c r="D32">
        <v>40200</v>
      </c>
      <c r="E32">
        <v>41323.03</v>
      </c>
      <c r="K32" s="2"/>
      <c r="L32" s="2"/>
    </row>
    <row r="33" spans="2:12" x14ac:dyDescent="0.2">
      <c r="K33" s="2"/>
      <c r="L33" s="2"/>
    </row>
    <row r="34" spans="2:12" x14ac:dyDescent="0.2">
      <c r="B34" s="1" t="s">
        <v>15</v>
      </c>
      <c r="C34" s="5">
        <v>2023</v>
      </c>
      <c r="D34" s="5">
        <v>2024</v>
      </c>
      <c r="E34" s="5">
        <v>2025</v>
      </c>
      <c r="K34" s="2">
        <f>1334.28+1232.93</f>
        <v>2567.21</v>
      </c>
      <c r="L34" s="2">
        <v>2537.5</v>
      </c>
    </row>
    <row r="35" spans="2:12" x14ac:dyDescent="0.2">
      <c r="B35" t="s">
        <v>39</v>
      </c>
      <c r="C35" s="2">
        <v>0</v>
      </c>
      <c r="D35">
        <v>0</v>
      </c>
      <c r="E35" s="2">
        <v>0</v>
      </c>
      <c r="K35" s="2">
        <v>467</v>
      </c>
      <c r="L35" s="2">
        <v>527</v>
      </c>
    </row>
    <row r="36" spans="2:12" x14ac:dyDescent="0.2">
      <c r="B36" t="s">
        <v>13</v>
      </c>
      <c r="C36" s="2">
        <v>0</v>
      </c>
      <c r="D36">
        <v>310.14</v>
      </c>
      <c r="E36" s="2">
        <v>552</v>
      </c>
      <c r="K36" s="2">
        <v>200</v>
      </c>
      <c r="L36" s="2">
        <v>200</v>
      </c>
    </row>
    <row r="37" spans="2:12" x14ac:dyDescent="0.2">
      <c r="B37" t="s">
        <v>40</v>
      </c>
      <c r="C37" s="2">
        <v>1696.05</v>
      </c>
      <c r="D37">
        <v>10749.83</v>
      </c>
      <c r="E37" s="8">
        <v>10264.83</v>
      </c>
      <c r="K37" s="2">
        <v>5677.2</v>
      </c>
      <c r="L37" s="2">
        <v>4746.96</v>
      </c>
    </row>
    <row r="38" spans="2:12" x14ac:dyDescent="0.2">
      <c r="B38" t="s">
        <v>41</v>
      </c>
      <c r="C38" s="2">
        <v>0</v>
      </c>
      <c r="D38">
        <v>0</v>
      </c>
      <c r="E38" s="2">
        <v>0</v>
      </c>
      <c r="K38" s="2">
        <v>0</v>
      </c>
      <c r="L38" s="2">
        <v>0</v>
      </c>
    </row>
    <row r="39" spans="2:12" x14ac:dyDescent="0.2">
      <c r="B39" t="s">
        <v>42</v>
      </c>
      <c r="C39" s="2">
        <v>3785.59</v>
      </c>
      <c r="D39">
        <v>0</v>
      </c>
      <c r="E39" s="2">
        <v>3898.5</v>
      </c>
      <c r="K39" s="2"/>
      <c r="L39" s="2"/>
    </row>
    <row r="40" spans="2:12" x14ac:dyDescent="0.2">
      <c r="B40" t="s">
        <v>43</v>
      </c>
      <c r="C40" s="2">
        <v>0</v>
      </c>
      <c r="D40">
        <v>0</v>
      </c>
      <c r="E40" s="2">
        <v>0</v>
      </c>
      <c r="K40" s="2"/>
      <c r="L40" s="2"/>
    </row>
    <row r="41" spans="2:12" x14ac:dyDescent="0.2">
      <c r="B41" t="s">
        <v>44</v>
      </c>
      <c r="C41" s="2">
        <v>0</v>
      </c>
      <c r="D41">
        <v>59.68</v>
      </c>
      <c r="E41" s="2">
        <v>829.17</v>
      </c>
      <c r="K41" s="2"/>
      <c r="L41" s="2"/>
    </row>
    <row r="42" spans="2:12" x14ac:dyDescent="0.2">
      <c r="B42" t="s">
        <v>45</v>
      </c>
      <c r="C42" s="2">
        <v>524.39</v>
      </c>
      <c r="D42">
        <v>3218.8</v>
      </c>
      <c r="E42" s="6">
        <v>3393.39</v>
      </c>
      <c r="K42" s="2"/>
      <c r="L42" s="2"/>
    </row>
    <row r="43" spans="2:12" x14ac:dyDescent="0.2">
      <c r="B43" t="s">
        <v>46</v>
      </c>
      <c r="C43" s="2">
        <v>0</v>
      </c>
      <c r="D43">
        <v>0</v>
      </c>
      <c r="E43" s="2">
        <v>0</v>
      </c>
      <c r="K43" s="2"/>
      <c r="L43" s="2"/>
    </row>
    <row r="44" spans="2:12" x14ac:dyDescent="0.2">
      <c r="B44" t="s">
        <v>38</v>
      </c>
      <c r="C44" s="2">
        <v>54</v>
      </c>
      <c r="D44">
        <v>0</v>
      </c>
      <c r="E44" s="2">
        <v>0</v>
      </c>
      <c r="K44" t="s">
        <v>25</v>
      </c>
    </row>
    <row r="45" spans="2:12" x14ac:dyDescent="0.2">
      <c r="B45" t="s">
        <v>47</v>
      </c>
      <c r="C45" s="2">
        <v>0</v>
      </c>
      <c r="D45">
        <v>0</v>
      </c>
      <c r="E45" s="2">
        <v>0</v>
      </c>
      <c r="K45" s="3">
        <v>45839</v>
      </c>
      <c r="L45" s="2"/>
    </row>
    <row r="46" spans="2:12" x14ac:dyDescent="0.2">
      <c r="B46" t="s">
        <v>48</v>
      </c>
      <c r="C46" s="2">
        <v>0</v>
      </c>
      <c r="D46">
        <v>0</v>
      </c>
      <c r="E46" s="2">
        <v>0</v>
      </c>
      <c r="K46" s="4">
        <v>46203</v>
      </c>
    </row>
    <row r="47" spans="2:12" x14ac:dyDescent="0.2">
      <c r="B47" t="s">
        <v>50</v>
      </c>
      <c r="C47" s="2">
        <v>1580.58</v>
      </c>
      <c r="D47">
        <v>9562.0400000000009</v>
      </c>
      <c r="E47" s="6">
        <v>9954.84</v>
      </c>
      <c r="K47" s="2">
        <v>2300</v>
      </c>
      <c r="L47">
        <v>2300</v>
      </c>
    </row>
    <row r="48" spans="2:12" x14ac:dyDescent="0.2">
      <c r="B48" t="s">
        <v>37</v>
      </c>
      <c r="C48" s="8">
        <v>4065.43</v>
      </c>
      <c r="D48" s="12">
        <v>17909.45</v>
      </c>
      <c r="E48" s="12">
        <f>(15532.45)+(714.4+715.13+715.87+716.6)</f>
        <v>18394.45</v>
      </c>
    </row>
    <row r="49" spans="2:5" x14ac:dyDescent="0.2">
      <c r="B49" s="1" t="s">
        <v>49</v>
      </c>
      <c r="C49" s="13">
        <f>SUM(C35:C48)</f>
        <v>11706.04</v>
      </c>
      <c r="D49" s="13">
        <f>SUM(D35:D48)</f>
        <v>41809.94</v>
      </c>
      <c r="E49" s="13">
        <f>SUM(E35:E48)</f>
        <v>47287.18</v>
      </c>
    </row>
    <row r="53" spans="2:5" x14ac:dyDescent="0.2">
      <c r="B53" s="1" t="s">
        <v>66</v>
      </c>
    </row>
    <row r="54" spans="2:5" x14ac:dyDescent="0.2">
      <c r="B54" t="s">
        <v>58</v>
      </c>
      <c r="C54" s="2" t="s">
        <v>65</v>
      </c>
      <c r="D54" s="2" t="s">
        <v>65</v>
      </c>
    </row>
    <row r="55" spans="2:5" x14ac:dyDescent="0.2">
      <c r="B55" t="s">
        <v>59</v>
      </c>
      <c r="C55" s="2">
        <v>492000</v>
      </c>
      <c r="D55" s="2">
        <v>443146.14</v>
      </c>
    </row>
    <row r="56" spans="2:5" x14ac:dyDescent="0.2">
      <c r="B56" t="s">
        <v>70</v>
      </c>
      <c r="C56" s="2">
        <v>-0.95</v>
      </c>
      <c r="D56" s="2">
        <v>2.69</v>
      </c>
    </row>
    <row r="57" spans="2:5" x14ac:dyDescent="0.2">
      <c r="B57" t="s">
        <v>60</v>
      </c>
      <c r="C57" s="2" t="s">
        <v>75</v>
      </c>
      <c r="D57" s="2" t="s">
        <v>68</v>
      </c>
    </row>
    <row r="58" spans="2:5" x14ac:dyDescent="0.2">
      <c r="B58" t="s">
        <v>61</v>
      </c>
      <c r="C58" s="2" t="s">
        <v>80</v>
      </c>
      <c r="D58" s="2" t="s">
        <v>82</v>
      </c>
    </row>
    <row r="59" spans="2:5" x14ac:dyDescent="0.2">
      <c r="B59" t="s">
        <v>62</v>
      </c>
      <c r="C59" s="2" t="s">
        <v>72</v>
      </c>
      <c r="D59" s="2" t="s">
        <v>72</v>
      </c>
    </row>
    <row r="60" spans="2:5" x14ac:dyDescent="0.2">
      <c r="B60" t="s">
        <v>63</v>
      </c>
      <c r="C60" s="3">
        <v>43500</v>
      </c>
      <c r="D60" s="3">
        <v>44595</v>
      </c>
    </row>
    <row r="61" spans="2:5" x14ac:dyDescent="0.2">
      <c r="B61" t="s">
        <v>64</v>
      </c>
      <c r="C61" s="2" t="s">
        <v>69</v>
      </c>
      <c r="D61" s="2" t="s">
        <v>81</v>
      </c>
    </row>
    <row r="62" spans="2:5" x14ac:dyDescent="0.2">
      <c r="B62" t="s">
        <v>83</v>
      </c>
      <c r="C62" s="2" t="s">
        <v>84</v>
      </c>
      <c r="D62" s="2" t="s">
        <v>84</v>
      </c>
    </row>
    <row r="63" spans="2:5" x14ac:dyDescent="0.2">
      <c r="B63" t="s">
        <v>85</v>
      </c>
      <c r="C63" s="2" t="s">
        <v>86</v>
      </c>
      <c r="D63" s="2" t="s">
        <v>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31033-AC43-2B4B-8782-64229B888AEC}">
  <dimension ref="B2:E63"/>
  <sheetViews>
    <sheetView topLeftCell="A20" workbookViewId="0">
      <selection activeCell="F37" sqref="F37"/>
    </sheetView>
    <sheetView workbookViewId="1"/>
  </sheetViews>
  <sheetFormatPr baseColWidth="10" defaultRowHeight="16" x14ac:dyDescent="0.2"/>
  <cols>
    <col min="1" max="1" width="5.6640625" customWidth="1"/>
    <col min="2" max="2" width="32" customWidth="1"/>
    <col min="3" max="3" width="20.83203125" customWidth="1"/>
    <col min="4" max="4" width="19.1640625" bestFit="1" customWidth="1"/>
  </cols>
  <sheetData>
    <row r="2" spans="2:3" x14ac:dyDescent="0.2">
      <c r="B2" s="1" t="s">
        <v>27</v>
      </c>
    </row>
    <row r="4" spans="2:3" x14ac:dyDescent="0.2">
      <c r="B4" s="1" t="s">
        <v>4</v>
      </c>
    </row>
    <row r="5" spans="2:3" x14ac:dyDescent="0.2">
      <c r="B5" t="s">
        <v>0</v>
      </c>
      <c r="C5" s="2" t="s">
        <v>10</v>
      </c>
    </row>
    <row r="6" spans="2:3" x14ac:dyDescent="0.2">
      <c r="B6" t="s">
        <v>18</v>
      </c>
      <c r="C6" s="2">
        <v>30</v>
      </c>
    </row>
    <row r="7" spans="2:3" x14ac:dyDescent="0.2">
      <c r="B7" t="s">
        <v>1</v>
      </c>
      <c r="C7" s="2">
        <v>317</v>
      </c>
    </row>
    <row r="8" spans="2:3" x14ac:dyDescent="0.2">
      <c r="B8" t="s">
        <v>2</v>
      </c>
      <c r="C8" s="2" t="s">
        <v>8</v>
      </c>
    </row>
    <row r="9" spans="2:3" x14ac:dyDescent="0.2">
      <c r="B9" t="s">
        <v>3</v>
      </c>
      <c r="C9" s="2" t="s">
        <v>21</v>
      </c>
    </row>
    <row r="10" spans="2:3" x14ac:dyDescent="0.2">
      <c r="C10" s="2"/>
    </row>
    <row r="11" spans="2:3" x14ac:dyDescent="0.2">
      <c r="B11" s="1" t="s">
        <v>31</v>
      </c>
      <c r="C11" s="2"/>
    </row>
    <row r="12" spans="2:3" x14ac:dyDescent="0.2">
      <c r="B12" t="s">
        <v>12</v>
      </c>
      <c r="C12" s="2">
        <v>448618</v>
      </c>
    </row>
    <row r="13" spans="2:3" x14ac:dyDescent="0.2">
      <c r="B13" t="s">
        <v>19</v>
      </c>
      <c r="C13" s="2">
        <v>68086</v>
      </c>
    </row>
    <row r="14" spans="2:3" x14ac:dyDescent="0.2">
      <c r="B14" t="s">
        <v>20</v>
      </c>
      <c r="C14" s="3">
        <v>45203</v>
      </c>
    </row>
    <row r="15" spans="2:3" x14ac:dyDescent="0.2">
      <c r="B15" t="s">
        <v>29</v>
      </c>
      <c r="C15" s="2">
        <v>0</v>
      </c>
    </row>
    <row r="16" spans="2:3" x14ac:dyDescent="0.2">
      <c r="B16" t="s">
        <v>11</v>
      </c>
      <c r="C16" s="2">
        <v>550000</v>
      </c>
    </row>
    <row r="17" spans="2:5" x14ac:dyDescent="0.2">
      <c r="B17" t="s">
        <v>16</v>
      </c>
      <c r="C17" s="2">
        <v>2023</v>
      </c>
    </row>
    <row r="18" spans="2:5" x14ac:dyDescent="0.2">
      <c r="B18" t="s">
        <v>6</v>
      </c>
      <c r="C18" s="2" t="s">
        <v>7</v>
      </c>
    </row>
    <row r="19" spans="2:5" x14ac:dyDescent="0.2">
      <c r="B19" t="s">
        <v>53</v>
      </c>
      <c r="C19" s="2">
        <v>553</v>
      </c>
    </row>
    <row r="20" spans="2:5" x14ac:dyDescent="0.2">
      <c r="B20" t="s">
        <v>52</v>
      </c>
      <c r="C20" s="2" t="s">
        <v>55</v>
      </c>
    </row>
    <row r="22" spans="2:5" x14ac:dyDescent="0.2">
      <c r="B22" s="1" t="s">
        <v>36</v>
      </c>
    </row>
    <row r="23" spans="2:5" x14ac:dyDescent="0.2">
      <c r="B23" t="s">
        <v>35</v>
      </c>
      <c r="C23" s="2" t="s">
        <v>25</v>
      </c>
    </row>
    <row r="24" spans="2:5" x14ac:dyDescent="0.2">
      <c r="B24" t="s">
        <v>14</v>
      </c>
      <c r="C24">
        <v>2300</v>
      </c>
    </row>
    <row r="26" spans="2:5" x14ac:dyDescent="0.2">
      <c r="B26" s="1" t="s">
        <v>34</v>
      </c>
    </row>
    <row r="27" spans="2:5" x14ac:dyDescent="0.2">
      <c r="B27" t="s">
        <v>24</v>
      </c>
      <c r="C27" s="2" t="s">
        <v>56</v>
      </c>
      <c r="D27" s="2" t="s">
        <v>25</v>
      </c>
    </row>
    <row r="28" spans="2:5" x14ac:dyDescent="0.2">
      <c r="B28" t="s">
        <v>32</v>
      </c>
      <c r="C28" s="4">
        <v>44995</v>
      </c>
      <c r="D28" s="4">
        <v>45474</v>
      </c>
    </row>
    <row r="29" spans="2:5" x14ac:dyDescent="0.2">
      <c r="B29" t="s">
        <v>33</v>
      </c>
      <c r="C29" s="4">
        <v>45473</v>
      </c>
      <c r="D29" s="2" t="s">
        <v>54</v>
      </c>
    </row>
    <row r="31" spans="2:5" x14ac:dyDescent="0.2">
      <c r="B31" s="1" t="s">
        <v>28</v>
      </c>
      <c r="C31" s="5">
        <v>2023</v>
      </c>
      <c r="D31" s="5">
        <v>2024</v>
      </c>
      <c r="E31" s="5">
        <v>2025</v>
      </c>
    </row>
    <row r="32" spans="2:5" x14ac:dyDescent="0.2">
      <c r="B32" t="s">
        <v>14</v>
      </c>
      <c r="C32">
        <v>25000</v>
      </c>
      <c r="D32">
        <v>29550</v>
      </c>
      <c r="E32">
        <v>28200</v>
      </c>
    </row>
    <row r="34" spans="2:5" x14ac:dyDescent="0.2">
      <c r="B34" s="1" t="s">
        <v>15</v>
      </c>
      <c r="C34" s="5">
        <v>2023</v>
      </c>
      <c r="D34" s="5">
        <v>2024</v>
      </c>
      <c r="E34" s="5">
        <v>2025</v>
      </c>
    </row>
    <row r="35" spans="2:5" x14ac:dyDescent="0.2">
      <c r="B35" t="s">
        <v>39</v>
      </c>
      <c r="C35">
        <v>0</v>
      </c>
      <c r="D35">
        <v>0</v>
      </c>
      <c r="E35">
        <v>0</v>
      </c>
    </row>
    <row r="36" spans="2:5" x14ac:dyDescent="0.2">
      <c r="B36" t="s">
        <v>13</v>
      </c>
      <c r="C36">
        <v>179</v>
      </c>
      <c r="D36">
        <v>291.85000000000002</v>
      </c>
      <c r="E36">
        <v>552.96</v>
      </c>
    </row>
    <row r="37" spans="2:5" x14ac:dyDescent="0.2">
      <c r="B37" t="s">
        <v>40</v>
      </c>
      <c r="C37">
        <v>4863.71</v>
      </c>
      <c r="D37">
        <v>19266.66</v>
      </c>
      <c r="E37" s="6">
        <v>15000</v>
      </c>
    </row>
    <row r="38" spans="2:5" x14ac:dyDescent="0.2">
      <c r="B38" t="s">
        <v>41</v>
      </c>
      <c r="C38">
        <v>0</v>
      </c>
      <c r="D38">
        <v>0</v>
      </c>
      <c r="E38">
        <v>0</v>
      </c>
    </row>
    <row r="39" spans="2:5" x14ac:dyDescent="0.2">
      <c r="B39" t="s">
        <v>42</v>
      </c>
      <c r="C39">
        <v>1864.57</v>
      </c>
      <c r="D39">
        <v>2712</v>
      </c>
      <c r="E39">
        <v>0</v>
      </c>
    </row>
    <row r="40" spans="2:5" x14ac:dyDescent="0.2">
      <c r="B40" t="s">
        <v>43</v>
      </c>
      <c r="C40">
        <v>0</v>
      </c>
      <c r="D40">
        <v>0</v>
      </c>
      <c r="E40">
        <v>0</v>
      </c>
    </row>
    <row r="41" spans="2:5" x14ac:dyDescent="0.2">
      <c r="B41" t="s">
        <v>44</v>
      </c>
      <c r="C41">
        <v>0</v>
      </c>
      <c r="D41">
        <v>0</v>
      </c>
      <c r="E41">
        <v>691.79</v>
      </c>
    </row>
    <row r="42" spans="2:5" x14ac:dyDescent="0.2">
      <c r="B42" t="s">
        <v>45</v>
      </c>
      <c r="C42">
        <v>0</v>
      </c>
      <c r="D42">
        <v>2294.1</v>
      </c>
      <c r="E42" s="6">
        <v>2345.21</v>
      </c>
    </row>
    <row r="43" spans="2:5" x14ac:dyDescent="0.2">
      <c r="B43" t="s">
        <v>46</v>
      </c>
      <c r="C43">
        <v>0</v>
      </c>
      <c r="D43">
        <v>0</v>
      </c>
      <c r="E43">
        <v>0</v>
      </c>
    </row>
    <row r="44" spans="2:5" x14ac:dyDescent="0.2">
      <c r="B44" t="s">
        <v>38</v>
      </c>
      <c r="C44">
        <v>0</v>
      </c>
      <c r="D44">
        <v>0</v>
      </c>
      <c r="E44">
        <v>0</v>
      </c>
    </row>
    <row r="45" spans="2:5" x14ac:dyDescent="0.2">
      <c r="B45" t="s">
        <v>47</v>
      </c>
      <c r="C45">
        <v>0</v>
      </c>
      <c r="D45">
        <v>0</v>
      </c>
      <c r="E45">
        <v>36.58</v>
      </c>
    </row>
    <row r="46" spans="2:5" x14ac:dyDescent="0.2">
      <c r="B46" t="s">
        <v>48</v>
      </c>
      <c r="C46">
        <v>18877.169999999998</v>
      </c>
      <c r="D46">
        <v>0</v>
      </c>
      <c r="E46">
        <v>0</v>
      </c>
    </row>
    <row r="47" spans="2:5" x14ac:dyDescent="0.2">
      <c r="B47" t="s">
        <v>50</v>
      </c>
      <c r="C47">
        <v>1221.1500000000001</v>
      </c>
      <c r="D47">
        <v>5204.88</v>
      </c>
      <c r="E47">
        <v>5687.49</v>
      </c>
    </row>
    <row r="48" spans="2:5" x14ac:dyDescent="0.2">
      <c r="B48" t="s">
        <v>37</v>
      </c>
      <c r="C48" s="6"/>
      <c r="D48" s="6"/>
      <c r="E48" s="6"/>
    </row>
    <row r="49" spans="2:5" x14ac:dyDescent="0.2">
      <c r="B49" t="s">
        <v>49</v>
      </c>
      <c r="C49">
        <f>SUM(C35:C48)</f>
        <v>27005.599999999999</v>
      </c>
      <c r="D49">
        <f t="shared" ref="D49:E49" si="0">SUM(D35:D48)</f>
        <v>29769.489999999998</v>
      </c>
      <c r="E49">
        <f t="shared" si="0"/>
        <v>24314.03</v>
      </c>
    </row>
    <row r="53" spans="2:5" x14ac:dyDescent="0.2">
      <c r="B53" s="1" t="s">
        <v>66</v>
      </c>
    </row>
    <row r="54" spans="2:5" x14ac:dyDescent="0.2">
      <c r="B54" t="s">
        <v>58</v>
      </c>
      <c r="C54" s="2" t="s">
        <v>76</v>
      </c>
      <c r="D54" s="2" t="s">
        <v>67</v>
      </c>
    </row>
    <row r="55" spans="2:5" x14ac:dyDescent="0.2">
      <c r="B55" t="s">
        <v>59</v>
      </c>
      <c r="C55" s="2">
        <v>358800</v>
      </c>
      <c r="D55" s="2">
        <v>358000</v>
      </c>
    </row>
    <row r="56" spans="2:5" x14ac:dyDescent="0.2">
      <c r="B56" t="s">
        <v>70</v>
      </c>
      <c r="C56" s="2">
        <v>5.49</v>
      </c>
      <c r="D56" s="2">
        <v>-0.75</v>
      </c>
    </row>
    <row r="57" spans="2:5" x14ac:dyDescent="0.2">
      <c r="B57" t="s">
        <v>60</v>
      </c>
      <c r="C57" s="2" t="s">
        <v>68</v>
      </c>
      <c r="D57" s="2" t="s">
        <v>75</v>
      </c>
    </row>
    <row r="58" spans="2:5" x14ac:dyDescent="0.2">
      <c r="B58" t="s">
        <v>61</v>
      </c>
      <c r="C58" s="2" t="s">
        <v>74</v>
      </c>
      <c r="D58" s="2" t="s">
        <v>71</v>
      </c>
    </row>
    <row r="59" spans="2:5" x14ac:dyDescent="0.2">
      <c r="B59" t="s">
        <v>62</v>
      </c>
      <c r="C59" s="2" t="s">
        <v>77</v>
      </c>
      <c r="D59" s="2" t="s">
        <v>72</v>
      </c>
    </row>
    <row r="60" spans="2:5" x14ac:dyDescent="0.2">
      <c r="B60" t="s">
        <v>63</v>
      </c>
      <c r="C60" s="3">
        <v>45139</v>
      </c>
      <c r="D60" s="3">
        <v>45737</v>
      </c>
    </row>
    <row r="61" spans="2:5" x14ac:dyDescent="0.2">
      <c r="B61" t="s">
        <v>64</v>
      </c>
      <c r="C61" s="2" t="s">
        <v>69</v>
      </c>
      <c r="D61" s="2" t="s">
        <v>69</v>
      </c>
    </row>
    <row r="62" spans="2:5" x14ac:dyDescent="0.2">
      <c r="B62" t="s">
        <v>83</v>
      </c>
      <c r="C62" s="2" t="s">
        <v>84</v>
      </c>
      <c r="D62" s="2" t="s">
        <v>84</v>
      </c>
    </row>
    <row r="63" spans="2:5" x14ac:dyDescent="0.2">
      <c r="B63" t="s">
        <v>85</v>
      </c>
      <c r="C63" s="2" t="s">
        <v>86</v>
      </c>
      <c r="D63" s="2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F1003-3F07-D74C-8900-61A8CF16FE40}">
  <dimension ref="B2:D63"/>
  <sheetViews>
    <sheetView topLeftCell="A38" workbookViewId="0">
      <selection activeCell="D36" sqref="D36"/>
    </sheetView>
    <sheetView topLeftCell="A19" workbookViewId="1"/>
  </sheetViews>
  <sheetFormatPr baseColWidth="10" defaultRowHeight="16" x14ac:dyDescent="0.2"/>
  <cols>
    <col min="1" max="1" width="5.6640625" customWidth="1"/>
    <col min="2" max="2" width="32" customWidth="1"/>
    <col min="3" max="3" width="33" bestFit="1" customWidth="1"/>
  </cols>
  <sheetData>
    <row r="2" spans="2:3" x14ac:dyDescent="0.2">
      <c r="B2" s="1" t="s">
        <v>27</v>
      </c>
    </row>
    <row r="4" spans="2:3" x14ac:dyDescent="0.2">
      <c r="B4" s="1" t="s">
        <v>4</v>
      </c>
    </row>
    <row r="5" spans="2:3" x14ac:dyDescent="0.2">
      <c r="B5" t="s">
        <v>0</v>
      </c>
      <c r="C5" s="2" t="s">
        <v>78</v>
      </c>
    </row>
    <row r="6" spans="2:3" x14ac:dyDescent="0.2">
      <c r="B6" t="s">
        <v>18</v>
      </c>
      <c r="C6" s="2">
        <v>500</v>
      </c>
    </row>
    <row r="7" spans="2:3" x14ac:dyDescent="0.2">
      <c r="B7" t="s">
        <v>1</v>
      </c>
      <c r="C7" s="2">
        <v>415</v>
      </c>
    </row>
    <row r="8" spans="2:3" x14ac:dyDescent="0.2">
      <c r="B8" t="s">
        <v>2</v>
      </c>
      <c r="C8" s="2" t="s">
        <v>8</v>
      </c>
    </row>
    <row r="9" spans="2:3" x14ac:dyDescent="0.2">
      <c r="B9" t="s">
        <v>3</v>
      </c>
      <c r="C9" s="2" t="s">
        <v>79</v>
      </c>
    </row>
    <row r="11" spans="2:3" x14ac:dyDescent="0.2">
      <c r="B11" s="1" t="s">
        <v>31</v>
      </c>
    </row>
    <row r="12" spans="2:3" x14ac:dyDescent="0.2">
      <c r="B12" t="s">
        <v>12</v>
      </c>
      <c r="C12" s="9">
        <v>516760.19</v>
      </c>
    </row>
    <row r="13" spans="2:3" x14ac:dyDescent="0.2">
      <c r="B13" t="s">
        <v>19</v>
      </c>
      <c r="C13" s="6">
        <v>53241.9</v>
      </c>
    </row>
    <row r="14" spans="2:3" x14ac:dyDescent="0.2">
      <c r="B14" t="s">
        <v>20</v>
      </c>
      <c r="C14" s="4">
        <v>45677</v>
      </c>
    </row>
    <row r="15" spans="2:3" x14ac:dyDescent="0.2">
      <c r="B15" t="s">
        <v>29</v>
      </c>
      <c r="C15">
        <v>0</v>
      </c>
    </row>
    <row r="16" spans="2:3" x14ac:dyDescent="0.2">
      <c r="B16" t="s">
        <v>11</v>
      </c>
      <c r="C16">
        <v>550000</v>
      </c>
    </row>
    <row r="17" spans="2:4" x14ac:dyDescent="0.2">
      <c r="B17" t="s">
        <v>16</v>
      </c>
      <c r="C17">
        <v>2025</v>
      </c>
    </row>
    <row r="18" spans="2:4" x14ac:dyDescent="0.2">
      <c r="B18" t="s">
        <v>6</v>
      </c>
      <c r="C18" t="s">
        <v>7</v>
      </c>
    </row>
    <row r="19" spans="2:4" x14ac:dyDescent="0.2">
      <c r="B19" t="s">
        <v>53</v>
      </c>
      <c r="C19">
        <v>557</v>
      </c>
    </row>
    <row r="20" spans="2:4" x14ac:dyDescent="0.2">
      <c r="B20" t="s">
        <v>52</v>
      </c>
      <c r="C20" s="2" t="s">
        <v>55</v>
      </c>
    </row>
    <row r="22" spans="2:4" x14ac:dyDescent="0.2">
      <c r="B22" s="1" t="s">
        <v>36</v>
      </c>
    </row>
    <row r="23" spans="2:4" x14ac:dyDescent="0.2">
      <c r="B23" t="s">
        <v>35</v>
      </c>
      <c r="C23" t="s">
        <v>57</v>
      </c>
    </row>
    <row r="24" spans="2:4" x14ac:dyDescent="0.2">
      <c r="B24" t="s">
        <v>14</v>
      </c>
      <c r="C24">
        <v>2400</v>
      </c>
    </row>
    <row r="26" spans="2:4" x14ac:dyDescent="0.2">
      <c r="B26" s="1" t="s">
        <v>34</v>
      </c>
    </row>
    <row r="27" spans="2:4" x14ac:dyDescent="0.2">
      <c r="B27" t="s">
        <v>24</v>
      </c>
      <c r="C27" s="2" t="s">
        <v>57</v>
      </c>
    </row>
    <row r="28" spans="2:4" x14ac:dyDescent="0.2">
      <c r="B28" t="s">
        <v>32</v>
      </c>
      <c r="C28" s="4">
        <v>45839</v>
      </c>
    </row>
    <row r="29" spans="2:4" x14ac:dyDescent="0.2">
      <c r="B29" t="s">
        <v>33</v>
      </c>
      <c r="C29" s="4">
        <v>45900</v>
      </c>
    </row>
    <row r="31" spans="2:4" x14ac:dyDescent="0.2">
      <c r="B31" s="1" t="s">
        <v>28</v>
      </c>
      <c r="C31" s="5">
        <v>2024</v>
      </c>
      <c r="D31" s="5">
        <v>2025</v>
      </c>
    </row>
    <row r="32" spans="2:4" x14ac:dyDescent="0.2">
      <c r="B32" t="s">
        <v>14</v>
      </c>
      <c r="C32">
        <v>14400</v>
      </c>
    </row>
    <row r="34" spans="2:4" x14ac:dyDescent="0.2">
      <c r="B34" s="1" t="s">
        <v>15</v>
      </c>
      <c r="C34" s="5">
        <v>2024</v>
      </c>
      <c r="D34" s="5">
        <v>2025</v>
      </c>
    </row>
    <row r="35" spans="2:4" x14ac:dyDescent="0.2">
      <c r="B35" t="s">
        <v>39</v>
      </c>
      <c r="C35">
        <v>0</v>
      </c>
      <c r="D35" s="6">
        <v>0</v>
      </c>
    </row>
    <row r="36" spans="2:4" x14ac:dyDescent="0.2">
      <c r="B36" t="s">
        <v>13</v>
      </c>
      <c r="C36">
        <v>710</v>
      </c>
      <c r="D36" s="6">
        <v>598.32000000000005</v>
      </c>
    </row>
    <row r="37" spans="2:4" x14ac:dyDescent="0.2">
      <c r="B37" t="s">
        <v>40</v>
      </c>
      <c r="C37" s="6"/>
      <c r="D37" s="6"/>
    </row>
    <row r="38" spans="2:4" x14ac:dyDescent="0.2">
      <c r="B38" t="s">
        <v>41</v>
      </c>
      <c r="C38">
        <v>0</v>
      </c>
      <c r="D38" s="6">
        <v>0</v>
      </c>
    </row>
    <row r="39" spans="2:4" x14ac:dyDescent="0.2">
      <c r="B39" t="s">
        <v>42</v>
      </c>
      <c r="C39">
        <v>2712</v>
      </c>
      <c r="D39" s="6">
        <v>1906.88</v>
      </c>
    </row>
    <row r="40" spans="2:4" x14ac:dyDescent="0.2">
      <c r="B40" t="s">
        <v>43</v>
      </c>
      <c r="C40">
        <v>0</v>
      </c>
      <c r="D40" s="6">
        <v>0</v>
      </c>
    </row>
    <row r="41" spans="2:4" x14ac:dyDescent="0.2">
      <c r="B41" t="s">
        <v>44</v>
      </c>
      <c r="C41">
        <v>253.9</v>
      </c>
      <c r="D41" s="6">
        <v>313.52</v>
      </c>
    </row>
    <row r="42" spans="2:4" x14ac:dyDescent="0.2">
      <c r="B42" t="s">
        <v>45</v>
      </c>
      <c r="C42">
        <v>0</v>
      </c>
      <c r="D42" s="6">
        <v>28585</v>
      </c>
    </row>
    <row r="43" spans="2:4" x14ac:dyDescent="0.2">
      <c r="B43" t="s">
        <v>46</v>
      </c>
      <c r="C43">
        <v>0</v>
      </c>
      <c r="D43" s="6">
        <v>164.59</v>
      </c>
    </row>
    <row r="44" spans="2:4" x14ac:dyDescent="0.2">
      <c r="B44" t="s">
        <v>38</v>
      </c>
      <c r="C44">
        <v>175.96</v>
      </c>
      <c r="D44" s="6">
        <v>0</v>
      </c>
    </row>
    <row r="45" spans="2:4" x14ac:dyDescent="0.2">
      <c r="B45" t="s">
        <v>47</v>
      </c>
      <c r="C45">
        <v>0</v>
      </c>
      <c r="D45" s="6">
        <v>0</v>
      </c>
    </row>
    <row r="46" spans="2:4" x14ac:dyDescent="0.2">
      <c r="B46" t="s">
        <v>48</v>
      </c>
      <c r="C46">
        <v>28483.62</v>
      </c>
      <c r="D46" s="6">
        <v>0</v>
      </c>
    </row>
    <row r="47" spans="2:4" x14ac:dyDescent="0.2">
      <c r="B47" t="s">
        <v>50</v>
      </c>
      <c r="C47">
        <v>0</v>
      </c>
      <c r="D47" s="6"/>
    </row>
    <row r="48" spans="2:4" x14ac:dyDescent="0.2">
      <c r="B48" t="s">
        <v>37</v>
      </c>
      <c r="C48">
        <v>0</v>
      </c>
      <c r="D48" s="6">
        <v>5213.22</v>
      </c>
    </row>
    <row r="49" spans="2:4" x14ac:dyDescent="0.2">
      <c r="B49" t="s">
        <v>49</v>
      </c>
      <c r="C49">
        <f>SUM(C35:C48)</f>
        <v>32335.48</v>
      </c>
      <c r="D49">
        <f>SUM(D35:D48)</f>
        <v>36781.53</v>
      </c>
    </row>
    <row r="51" spans="2:4" x14ac:dyDescent="0.2">
      <c r="B51" s="1" t="s">
        <v>66</v>
      </c>
    </row>
    <row r="52" spans="2:4" x14ac:dyDescent="0.2">
      <c r="B52" t="s">
        <v>58</v>
      </c>
      <c r="C52" s="2" t="s">
        <v>67</v>
      </c>
    </row>
    <row r="53" spans="2:4" x14ac:dyDescent="0.2">
      <c r="B53" t="s">
        <v>59</v>
      </c>
      <c r="C53" s="2">
        <v>426382.1</v>
      </c>
    </row>
    <row r="54" spans="2:4" x14ac:dyDescent="0.2">
      <c r="B54" t="s">
        <v>70</v>
      </c>
      <c r="C54" s="2">
        <v>4.45</v>
      </c>
    </row>
    <row r="55" spans="2:4" x14ac:dyDescent="0.2">
      <c r="B55" t="s">
        <v>60</v>
      </c>
      <c r="C55" s="2" t="s">
        <v>68</v>
      </c>
    </row>
    <row r="56" spans="2:4" x14ac:dyDescent="0.2">
      <c r="B56" t="s">
        <v>61</v>
      </c>
      <c r="C56" s="2" t="s">
        <v>74</v>
      </c>
    </row>
    <row r="57" spans="2:4" x14ac:dyDescent="0.2">
      <c r="B57" t="s">
        <v>62</v>
      </c>
      <c r="C57" s="2" t="s">
        <v>73</v>
      </c>
    </row>
    <row r="58" spans="2:4" x14ac:dyDescent="0.2">
      <c r="B58" t="s">
        <v>63</v>
      </c>
      <c r="C58" s="3">
        <v>45679</v>
      </c>
    </row>
    <row r="59" spans="2:4" x14ac:dyDescent="0.2">
      <c r="B59" t="s">
        <v>64</v>
      </c>
      <c r="C59" s="2" t="s">
        <v>69</v>
      </c>
    </row>
    <row r="60" spans="2:4" x14ac:dyDescent="0.2">
      <c r="B60" t="s">
        <v>83</v>
      </c>
      <c r="C60" s="2" t="s">
        <v>84</v>
      </c>
    </row>
    <row r="61" spans="2:4" x14ac:dyDescent="0.2">
      <c r="B61" t="s">
        <v>85</v>
      </c>
      <c r="C61" s="2" t="s">
        <v>86</v>
      </c>
    </row>
    <row r="63" spans="2:4" x14ac:dyDescent="0.2">
      <c r="C63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F6B11-52F7-C34A-9C58-511A0E8650A0}">
  <dimension ref="B2:G63"/>
  <sheetViews>
    <sheetView topLeftCell="A28" workbookViewId="0">
      <selection activeCell="D63" sqref="D63"/>
    </sheetView>
    <sheetView tabSelected="1" topLeftCell="A26" workbookViewId="1">
      <selection activeCell="E39" sqref="E39"/>
    </sheetView>
  </sheetViews>
  <sheetFormatPr baseColWidth="10" defaultRowHeight="16" x14ac:dyDescent="0.2"/>
  <cols>
    <col min="2" max="2" width="32" customWidth="1"/>
    <col min="3" max="3" width="13.83203125" customWidth="1"/>
    <col min="4" max="7" width="12.6640625" bestFit="1" customWidth="1"/>
  </cols>
  <sheetData>
    <row r="2" spans="2:3" x14ac:dyDescent="0.2">
      <c r="B2" s="1" t="s">
        <v>27</v>
      </c>
    </row>
    <row r="4" spans="2:3" x14ac:dyDescent="0.2">
      <c r="B4" s="1" t="s">
        <v>4</v>
      </c>
    </row>
    <row r="5" spans="2:3" x14ac:dyDescent="0.2">
      <c r="B5" t="s">
        <v>0</v>
      </c>
      <c r="C5" t="s">
        <v>90</v>
      </c>
    </row>
    <row r="6" spans="2:3" x14ac:dyDescent="0.2">
      <c r="B6" t="s">
        <v>18</v>
      </c>
      <c r="C6">
        <v>1</v>
      </c>
    </row>
    <row r="7" spans="2:3" x14ac:dyDescent="0.2">
      <c r="B7" t="s">
        <v>1</v>
      </c>
      <c r="C7">
        <v>1</v>
      </c>
    </row>
    <row r="8" spans="2:3" x14ac:dyDescent="0.2">
      <c r="B8" t="s">
        <v>2</v>
      </c>
      <c r="C8" t="s">
        <v>88</v>
      </c>
    </row>
    <row r="9" spans="2:3" x14ac:dyDescent="0.2">
      <c r="B9" t="s">
        <v>3</v>
      </c>
      <c r="C9" t="s">
        <v>91</v>
      </c>
    </row>
    <row r="11" spans="2:3" x14ac:dyDescent="0.2">
      <c r="B11" s="1" t="s">
        <v>31</v>
      </c>
    </row>
    <row r="12" spans="2:3" x14ac:dyDescent="0.2">
      <c r="B12" t="s">
        <v>12</v>
      </c>
      <c r="C12">
        <v>500000</v>
      </c>
    </row>
    <row r="13" spans="2:3" x14ac:dyDescent="0.2">
      <c r="B13" t="s">
        <v>19</v>
      </c>
      <c r="C13">
        <v>50000</v>
      </c>
    </row>
    <row r="14" spans="2:3" x14ac:dyDescent="0.2">
      <c r="B14" t="s">
        <v>20</v>
      </c>
      <c r="C14" s="4">
        <v>44197</v>
      </c>
    </row>
    <row r="15" spans="2:3" x14ac:dyDescent="0.2">
      <c r="B15" t="s">
        <v>29</v>
      </c>
      <c r="C15">
        <v>0</v>
      </c>
    </row>
    <row r="16" spans="2:3" x14ac:dyDescent="0.2">
      <c r="B16" t="s">
        <v>11</v>
      </c>
      <c r="C16">
        <v>600000</v>
      </c>
    </row>
    <row r="17" spans="2:7" x14ac:dyDescent="0.2">
      <c r="B17" t="s">
        <v>16</v>
      </c>
      <c r="C17">
        <v>2021</v>
      </c>
    </row>
    <row r="18" spans="2:7" x14ac:dyDescent="0.2">
      <c r="B18" t="s">
        <v>6</v>
      </c>
      <c r="C18" t="s">
        <v>7</v>
      </c>
    </row>
    <row r="19" spans="2:7" x14ac:dyDescent="0.2">
      <c r="B19" t="s">
        <v>53</v>
      </c>
      <c r="C19">
        <v>700</v>
      </c>
    </row>
    <row r="20" spans="2:7" x14ac:dyDescent="0.2">
      <c r="B20" t="s">
        <v>52</v>
      </c>
      <c r="C20" s="2" t="s">
        <v>55</v>
      </c>
    </row>
    <row r="22" spans="2:7" x14ac:dyDescent="0.2">
      <c r="B22" s="1" t="s">
        <v>36</v>
      </c>
    </row>
    <row r="23" spans="2:7" x14ac:dyDescent="0.2">
      <c r="B23" t="s">
        <v>35</v>
      </c>
      <c r="C23" t="s">
        <v>89</v>
      </c>
    </row>
    <row r="24" spans="2:7" x14ac:dyDescent="0.2">
      <c r="B24" t="s">
        <v>14</v>
      </c>
      <c r="C24" s="10">
        <v>2650</v>
      </c>
    </row>
    <row r="26" spans="2:7" x14ac:dyDescent="0.2">
      <c r="B26" s="1" t="s">
        <v>34</v>
      </c>
    </row>
    <row r="27" spans="2:7" x14ac:dyDescent="0.2">
      <c r="B27" t="s">
        <v>24</v>
      </c>
      <c r="C27" t="s">
        <v>92</v>
      </c>
      <c r="D27" t="s">
        <v>89</v>
      </c>
    </row>
    <row r="28" spans="2:7" x14ac:dyDescent="0.2">
      <c r="B28" t="s">
        <v>32</v>
      </c>
      <c r="C28" s="4">
        <v>44197</v>
      </c>
      <c r="D28" s="4">
        <v>44927</v>
      </c>
    </row>
    <row r="29" spans="2:7" x14ac:dyDescent="0.2">
      <c r="B29" t="s">
        <v>33</v>
      </c>
      <c r="C29" s="11">
        <v>44896</v>
      </c>
    </row>
    <row r="31" spans="2:7" x14ac:dyDescent="0.2">
      <c r="B31" s="1" t="s">
        <v>28</v>
      </c>
      <c r="C31" s="1">
        <v>2021</v>
      </c>
      <c r="D31" s="1">
        <v>2022</v>
      </c>
      <c r="E31" s="1">
        <v>2023</v>
      </c>
      <c r="F31" s="1">
        <v>2024</v>
      </c>
      <c r="G31" s="1">
        <v>2025</v>
      </c>
    </row>
    <row r="32" spans="2:7" x14ac:dyDescent="0.2">
      <c r="B32" t="s">
        <v>14</v>
      </c>
      <c r="C32" s="14">
        <v>2500</v>
      </c>
      <c r="D32" s="14">
        <f>C32*1.024</f>
        <v>2560</v>
      </c>
      <c r="E32" s="14">
        <v>2560</v>
      </c>
      <c r="F32" s="14">
        <f>E32*1.024</f>
        <v>2621.44</v>
      </c>
      <c r="G32" s="14">
        <f t="shared" ref="G32" si="0">F32*1.024</f>
        <v>2684.3545600000002</v>
      </c>
    </row>
    <row r="34" spans="2:7" x14ac:dyDescent="0.2">
      <c r="B34" s="1" t="s">
        <v>15</v>
      </c>
      <c r="C34" s="1">
        <v>2020</v>
      </c>
      <c r="D34" s="1">
        <v>2021</v>
      </c>
      <c r="E34" s="1">
        <v>2022</v>
      </c>
      <c r="F34" s="1">
        <v>2023</v>
      </c>
      <c r="G34" s="1">
        <v>2024</v>
      </c>
    </row>
    <row r="35" spans="2:7" x14ac:dyDescent="0.2">
      <c r="B35" t="s">
        <v>39</v>
      </c>
      <c r="C35">
        <v>0</v>
      </c>
    </row>
    <row r="36" spans="2:7" x14ac:dyDescent="0.2">
      <c r="B36" t="s">
        <v>13</v>
      </c>
      <c r="C36" s="14">
        <v>500</v>
      </c>
      <c r="D36" s="14">
        <f>C36*1.03</f>
        <v>515</v>
      </c>
      <c r="E36" s="14">
        <f t="shared" ref="E36:G36" si="1">D36*1.05</f>
        <v>540.75</v>
      </c>
      <c r="F36" s="14">
        <f t="shared" si="1"/>
        <v>567.78750000000002</v>
      </c>
      <c r="G36" s="14">
        <f t="shared" si="1"/>
        <v>596.176875</v>
      </c>
    </row>
    <row r="37" spans="2:7" x14ac:dyDescent="0.2">
      <c r="B37" t="s">
        <v>40</v>
      </c>
      <c r="C37" s="26">
        <v>9845.17</v>
      </c>
      <c r="D37" s="26">
        <v>9616.5400000000009</v>
      </c>
      <c r="E37" s="26">
        <v>9382.17</v>
      </c>
      <c r="F37" s="26">
        <v>9141.89</v>
      </c>
      <c r="G37" s="26">
        <v>8895.57</v>
      </c>
    </row>
    <row r="38" spans="2:7" x14ac:dyDescent="0.2">
      <c r="B38" t="s">
        <v>41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2:7" x14ac:dyDescent="0.2">
      <c r="B39" t="s">
        <v>42</v>
      </c>
      <c r="C39">
        <f>C32*1.13</f>
        <v>2824.9999999999995</v>
      </c>
      <c r="D39">
        <v>0</v>
      </c>
      <c r="E39" s="14">
        <f>E32*1.13</f>
        <v>2892.7999999999997</v>
      </c>
      <c r="F39">
        <v>0</v>
      </c>
      <c r="G39">
        <v>0</v>
      </c>
    </row>
    <row r="40" spans="2:7" x14ac:dyDescent="0.2">
      <c r="B40" t="s">
        <v>43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2:7" x14ac:dyDescent="0.2">
      <c r="B41" t="s">
        <v>44</v>
      </c>
      <c r="C41">
        <v>250</v>
      </c>
      <c r="D41" s="14">
        <f>C41*1.03</f>
        <v>257.5</v>
      </c>
      <c r="E41" s="14">
        <f t="shared" ref="E41:G41" si="2">D41*1.03</f>
        <v>265.22500000000002</v>
      </c>
      <c r="F41" s="14">
        <f t="shared" si="2"/>
        <v>273.18175000000002</v>
      </c>
      <c r="G41" s="14">
        <f t="shared" si="2"/>
        <v>281.37720250000001</v>
      </c>
    </row>
    <row r="42" spans="2:7" x14ac:dyDescent="0.2">
      <c r="B42" t="s">
        <v>45</v>
      </c>
      <c r="C42">
        <v>2300</v>
      </c>
      <c r="D42" s="14">
        <f>C42*1.05</f>
        <v>2415</v>
      </c>
      <c r="E42" s="14">
        <f t="shared" ref="E42:G42" si="3">D42*1.05</f>
        <v>2535.75</v>
      </c>
      <c r="F42" s="14">
        <f t="shared" si="3"/>
        <v>2662.5374999999999</v>
      </c>
      <c r="G42" s="14">
        <f t="shared" si="3"/>
        <v>2795.6643749999998</v>
      </c>
    </row>
    <row r="43" spans="2:7" x14ac:dyDescent="0.2">
      <c r="B43" t="s">
        <v>46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2:7" x14ac:dyDescent="0.2">
      <c r="B44" t="s">
        <v>38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2:7" x14ac:dyDescent="0.2">
      <c r="B45" t="s">
        <v>47</v>
      </c>
      <c r="C45">
        <v>50</v>
      </c>
      <c r="D45">
        <v>50</v>
      </c>
      <c r="E45">
        <v>50</v>
      </c>
      <c r="F45">
        <v>50</v>
      </c>
      <c r="G45">
        <v>50</v>
      </c>
    </row>
    <row r="46" spans="2:7" x14ac:dyDescent="0.2">
      <c r="B46" t="s">
        <v>48</v>
      </c>
      <c r="C46">
        <v>20000</v>
      </c>
      <c r="D46">
        <v>0</v>
      </c>
      <c r="E46">
        <v>0</v>
      </c>
      <c r="F46">
        <v>0</v>
      </c>
      <c r="G46">
        <v>0</v>
      </c>
    </row>
    <row r="47" spans="2:7" x14ac:dyDescent="0.2">
      <c r="B47" t="s">
        <v>50</v>
      </c>
      <c r="C47">
        <v>9900</v>
      </c>
      <c r="D47" s="14">
        <f>C47*1.03</f>
        <v>10197</v>
      </c>
      <c r="E47" s="14">
        <f t="shared" ref="E47:G47" si="4">D47*1.03</f>
        <v>10502.91</v>
      </c>
      <c r="F47" s="14">
        <f t="shared" si="4"/>
        <v>10817.997300000001</v>
      </c>
      <c r="G47" s="14">
        <f t="shared" si="4"/>
        <v>11142.537219000002</v>
      </c>
    </row>
    <row r="48" spans="2:7" x14ac:dyDescent="0.2">
      <c r="B48" t="s">
        <v>37</v>
      </c>
      <c r="C48" s="14">
        <v>9088.43</v>
      </c>
      <c r="D48" s="14">
        <v>9317.06</v>
      </c>
      <c r="E48" s="14">
        <v>9551.43</v>
      </c>
      <c r="F48" s="14">
        <v>9791.7099999999991</v>
      </c>
      <c r="G48" s="14">
        <v>10038.030000000001</v>
      </c>
    </row>
    <row r="49" spans="2:7" x14ac:dyDescent="0.2">
      <c r="B49" s="1" t="s">
        <v>49</v>
      </c>
      <c r="C49" s="15">
        <f>SUM(C35:C48)</f>
        <v>54758.6</v>
      </c>
      <c r="D49" s="15">
        <f t="shared" ref="D49:G49" si="5">SUM(D35:D48)</f>
        <v>32368.1</v>
      </c>
      <c r="E49" s="15">
        <f t="shared" si="5"/>
        <v>35721.035000000003</v>
      </c>
      <c r="F49" s="15">
        <f t="shared" si="5"/>
        <v>33305.104050000002</v>
      </c>
      <c r="G49" s="15">
        <f t="shared" si="5"/>
        <v>33799.355671500001</v>
      </c>
    </row>
    <row r="53" spans="2:7" x14ac:dyDescent="0.2">
      <c r="B53" s="1" t="s">
        <v>66</v>
      </c>
    </row>
    <row r="54" spans="2:7" x14ac:dyDescent="0.2">
      <c r="B54" t="s">
        <v>58</v>
      </c>
      <c r="C54" t="s">
        <v>93</v>
      </c>
    </row>
    <row r="55" spans="2:7" x14ac:dyDescent="0.2">
      <c r="B55" t="s">
        <v>59</v>
      </c>
      <c r="C55">
        <v>400000</v>
      </c>
    </row>
    <row r="56" spans="2:7" x14ac:dyDescent="0.2">
      <c r="B56" t="s">
        <v>70</v>
      </c>
      <c r="C56">
        <v>2.5</v>
      </c>
    </row>
    <row r="57" spans="2:7" x14ac:dyDescent="0.2">
      <c r="B57" t="s">
        <v>60</v>
      </c>
      <c r="C57" t="s">
        <v>68</v>
      </c>
    </row>
    <row r="58" spans="2:7" x14ac:dyDescent="0.2">
      <c r="B58" t="s">
        <v>61</v>
      </c>
      <c r="C58" t="s">
        <v>74</v>
      </c>
    </row>
    <row r="59" spans="2:7" x14ac:dyDescent="0.2">
      <c r="B59" t="s">
        <v>62</v>
      </c>
      <c r="C59" t="s">
        <v>72</v>
      </c>
    </row>
    <row r="60" spans="2:7" x14ac:dyDescent="0.2">
      <c r="B60" t="s">
        <v>63</v>
      </c>
      <c r="C60" s="4">
        <v>44197</v>
      </c>
    </row>
    <row r="61" spans="2:7" x14ac:dyDescent="0.2">
      <c r="B61" t="s">
        <v>64</v>
      </c>
      <c r="C61" t="s">
        <v>69</v>
      </c>
    </row>
    <row r="62" spans="2:7" x14ac:dyDescent="0.2">
      <c r="B62" t="s">
        <v>83</v>
      </c>
      <c r="C62" t="s">
        <v>84</v>
      </c>
    </row>
    <row r="63" spans="2:7" x14ac:dyDescent="0.2">
      <c r="B63" t="s">
        <v>85</v>
      </c>
      <c r="C63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DC2B1-52D1-984D-9500-038B1E82D577}">
  <dimension ref="B2:G63"/>
  <sheetViews>
    <sheetView topLeftCell="A28" workbookViewId="0">
      <selection activeCell="D63" sqref="D63"/>
    </sheetView>
    <sheetView workbookViewId="1">
      <selection activeCell="D28" sqref="D28"/>
    </sheetView>
  </sheetViews>
  <sheetFormatPr baseColWidth="10" defaultRowHeight="16" x14ac:dyDescent="0.2"/>
  <cols>
    <col min="2" max="2" width="32" customWidth="1"/>
    <col min="3" max="3" width="13.83203125" customWidth="1"/>
    <col min="4" max="7" width="12.6640625" bestFit="1" customWidth="1"/>
  </cols>
  <sheetData>
    <row r="2" spans="2:3" x14ac:dyDescent="0.2">
      <c r="B2" s="1" t="s">
        <v>27</v>
      </c>
    </row>
    <row r="4" spans="2:3" x14ac:dyDescent="0.2">
      <c r="B4" s="1" t="s">
        <v>4</v>
      </c>
    </row>
    <row r="5" spans="2:3" x14ac:dyDescent="0.2">
      <c r="B5" t="s">
        <v>0</v>
      </c>
      <c r="C5" t="s">
        <v>90</v>
      </c>
    </row>
    <row r="6" spans="2:3" x14ac:dyDescent="0.2">
      <c r="B6" t="s">
        <v>18</v>
      </c>
      <c r="C6">
        <v>1</v>
      </c>
    </row>
    <row r="7" spans="2:3" x14ac:dyDescent="0.2">
      <c r="B7" t="s">
        <v>1</v>
      </c>
      <c r="C7">
        <v>1</v>
      </c>
    </row>
    <row r="8" spans="2:3" x14ac:dyDescent="0.2">
      <c r="B8" t="s">
        <v>2</v>
      </c>
      <c r="C8" t="s">
        <v>88</v>
      </c>
    </row>
    <row r="9" spans="2:3" x14ac:dyDescent="0.2">
      <c r="B9" t="s">
        <v>3</v>
      </c>
      <c r="C9" t="s">
        <v>91</v>
      </c>
    </row>
    <row r="11" spans="2:3" x14ac:dyDescent="0.2">
      <c r="B11" s="1" t="s">
        <v>31</v>
      </c>
    </row>
    <row r="12" spans="2:3" x14ac:dyDescent="0.2">
      <c r="B12" t="s">
        <v>12</v>
      </c>
      <c r="C12">
        <v>600000</v>
      </c>
    </row>
    <row r="13" spans="2:3" x14ac:dyDescent="0.2">
      <c r="B13" t="s">
        <v>19</v>
      </c>
      <c r="C13">
        <v>600000</v>
      </c>
    </row>
    <row r="14" spans="2:3" x14ac:dyDescent="0.2">
      <c r="B14" t="s">
        <v>20</v>
      </c>
      <c r="C14" s="4">
        <v>44197</v>
      </c>
    </row>
    <row r="15" spans="2:3" x14ac:dyDescent="0.2">
      <c r="B15" t="s">
        <v>29</v>
      </c>
      <c r="C15">
        <v>0</v>
      </c>
    </row>
    <row r="16" spans="2:3" x14ac:dyDescent="0.2">
      <c r="B16" t="s">
        <v>11</v>
      </c>
      <c r="C16">
        <v>650000</v>
      </c>
    </row>
    <row r="17" spans="2:7" x14ac:dyDescent="0.2">
      <c r="B17" t="s">
        <v>16</v>
      </c>
      <c r="C17">
        <v>2021</v>
      </c>
    </row>
    <row r="18" spans="2:7" x14ac:dyDescent="0.2">
      <c r="B18" t="s">
        <v>6</v>
      </c>
      <c r="C18" t="s">
        <v>7</v>
      </c>
    </row>
    <row r="19" spans="2:7" x14ac:dyDescent="0.2">
      <c r="B19" t="s">
        <v>53</v>
      </c>
      <c r="C19">
        <v>700</v>
      </c>
    </row>
    <row r="20" spans="2:7" x14ac:dyDescent="0.2">
      <c r="B20" t="s">
        <v>52</v>
      </c>
      <c r="C20" s="2" t="s">
        <v>55</v>
      </c>
    </row>
    <row r="22" spans="2:7" x14ac:dyDescent="0.2">
      <c r="B22" s="1" t="s">
        <v>36</v>
      </c>
    </row>
    <row r="23" spans="2:7" x14ac:dyDescent="0.2">
      <c r="B23" t="s">
        <v>35</v>
      </c>
      <c r="C23" t="s">
        <v>89</v>
      </c>
    </row>
    <row r="24" spans="2:7" x14ac:dyDescent="0.2">
      <c r="B24" t="s">
        <v>14</v>
      </c>
      <c r="C24" s="10">
        <v>2650</v>
      </c>
    </row>
    <row r="26" spans="2:7" x14ac:dyDescent="0.2">
      <c r="B26" s="1" t="s">
        <v>34</v>
      </c>
    </row>
    <row r="27" spans="2:7" x14ac:dyDescent="0.2">
      <c r="B27" t="s">
        <v>24</v>
      </c>
      <c r="C27" t="s">
        <v>92</v>
      </c>
      <c r="D27" t="s">
        <v>89</v>
      </c>
    </row>
    <row r="28" spans="2:7" x14ac:dyDescent="0.2">
      <c r="B28" t="s">
        <v>32</v>
      </c>
      <c r="C28" s="4">
        <v>44197</v>
      </c>
      <c r="D28" s="4">
        <v>44927</v>
      </c>
    </row>
    <row r="29" spans="2:7" x14ac:dyDescent="0.2">
      <c r="B29" t="s">
        <v>33</v>
      </c>
      <c r="C29" s="11">
        <v>44896</v>
      </c>
    </row>
    <row r="31" spans="2:7" x14ac:dyDescent="0.2">
      <c r="B31" s="1" t="s">
        <v>28</v>
      </c>
      <c r="C31" s="1">
        <v>2021</v>
      </c>
      <c r="D31" s="1">
        <v>2022</v>
      </c>
      <c r="E31" s="1">
        <v>2023</v>
      </c>
      <c r="F31" s="1">
        <v>2024</v>
      </c>
      <c r="G31" s="1">
        <v>2025</v>
      </c>
    </row>
    <row r="32" spans="2:7" x14ac:dyDescent="0.2">
      <c r="B32" t="s">
        <v>14</v>
      </c>
      <c r="C32" s="14">
        <v>2600</v>
      </c>
      <c r="D32" s="14">
        <f>C32*1.024</f>
        <v>2662.4</v>
      </c>
      <c r="E32" s="14">
        <v>2675</v>
      </c>
      <c r="F32" s="14">
        <f>E32*1.024</f>
        <v>2739.2000000000003</v>
      </c>
      <c r="G32" s="14">
        <f t="shared" ref="G32" si="0">F32*1.024</f>
        <v>2804.9408000000003</v>
      </c>
    </row>
    <row r="34" spans="2:7" x14ac:dyDescent="0.2">
      <c r="B34" s="1" t="s">
        <v>15</v>
      </c>
      <c r="C34" s="1">
        <v>2020</v>
      </c>
      <c r="D34" s="1">
        <v>2021</v>
      </c>
      <c r="E34" s="1">
        <v>2022</v>
      </c>
      <c r="F34" s="1">
        <v>2023</v>
      </c>
      <c r="G34" s="1">
        <v>2024</v>
      </c>
    </row>
    <row r="35" spans="2:7" x14ac:dyDescent="0.2">
      <c r="B35" t="s">
        <v>39</v>
      </c>
      <c r="C35">
        <v>0</v>
      </c>
    </row>
    <row r="36" spans="2:7" x14ac:dyDescent="0.2">
      <c r="B36" t="s">
        <v>13</v>
      </c>
      <c r="C36" s="14">
        <v>550</v>
      </c>
      <c r="D36" s="14">
        <f>C36*1.03</f>
        <v>566.5</v>
      </c>
      <c r="E36" s="14">
        <f t="shared" ref="E36:G36" si="1">D36*1.05</f>
        <v>594.82500000000005</v>
      </c>
      <c r="F36" s="14">
        <f t="shared" si="1"/>
        <v>624.56625000000008</v>
      </c>
      <c r="G36" s="14">
        <f t="shared" si="1"/>
        <v>655.7945625000001</v>
      </c>
    </row>
    <row r="37" spans="2:7" x14ac:dyDescent="0.2">
      <c r="B37" t="s">
        <v>40</v>
      </c>
      <c r="C37" s="14">
        <v>15353.52</v>
      </c>
      <c r="D37" s="26">
        <v>15037.52</v>
      </c>
      <c r="E37" s="26">
        <v>14711.12</v>
      </c>
      <c r="F37" s="26">
        <v>14374.06</v>
      </c>
      <c r="G37" s="26">
        <v>14025.95</v>
      </c>
    </row>
    <row r="38" spans="2:7" x14ac:dyDescent="0.2">
      <c r="B38" t="s">
        <v>41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2:7" x14ac:dyDescent="0.2">
      <c r="B39" t="s">
        <v>42</v>
      </c>
      <c r="C39">
        <f>C32*1.13</f>
        <v>2937.9999999999995</v>
      </c>
      <c r="D39">
        <v>0</v>
      </c>
      <c r="E39">
        <f>E32*1.13</f>
        <v>3022.7499999999995</v>
      </c>
      <c r="F39">
        <v>0</v>
      </c>
      <c r="G39">
        <v>0</v>
      </c>
    </row>
    <row r="40" spans="2:7" x14ac:dyDescent="0.2">
      <c r="B40" t="s">
        <v>43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2:7" x14ac:dyDescent="0.2">
      <c r="B41" t="s">
        <v>44</v>
      </c>
      <c r="C41">
        <v>375</v>
      </c>
      <c r="D41" s="14">
        <f>C41*1.03</f>
        <v>386.25</v>
      </c>
      <c r="E41" s="14">
        <f t="shared" ref="E41:G41" si="2">D41*1.03</f>
        <v>397.83750000000003</v>
      </c>
      <c r="F41" s="14">
        <f t="shared" si="2"/>
        <v>409.77262500000006</v>
      </c>
      <c r="G41" s="14">
        <f t="shared" si="2"/>
        <v>422.0658037500001</v>
      </c>
    </row>
    <row r="42" spans="2:7" x14ac:dyDescent="0.2">
      <c r="B42" t="s">
        <v>45</v>
      </c>
      <c r="C42">
        <v>2450</v>
      </c>
      <c r="D42" s="14">
        <f>C42*1.05</f>
        <v>2572.5</v>
      </c>
      <c r="E42" s="14">
        <f t="shared" ref="E42:G42" si="3">D42*1.05</f>
        <v>2701.125</v>
      </c>
      <c r="F42" s="14">
        <f t="shared" si="3"/>
        <v>2836.1812500000001</v>
      </c>
      <c r="G42" s="14">
        <f t="shared" si="3"/>
        <v>2977.9903125000001</v>
      </c>
    </row>
    <row r="43" spans="2:7" x14ac:dyDescent="0.2">
      <c r="B43" t="s">
        <v>46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2:7" x14ac:dyDescent="0.2">
      <c r="B44" t="s">
        <v>38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2:7" x14ac:dyDescent="0.2">
      <c r="B45" t="s">
        <v>47</v>
      </c>
      <c r="C45">
        <v>50</v>
      </c>
      <c r="D45">
        <v>50</v>
      </c>
      <c r="E45">
        <v>50</v>
      </c>
      <c r="F45">
        <v>50</v>
      </c>
      <c r="G45">
        <v>50</v>
      </c>
    </row>
    <row r="46" spans="2:7" x14ac:dyDescent="0.2">
      <c r="B46" t="s">
        <v>48</v>
      </c>
      <c r="C46">
        <v>25000</v>
      </c>
      <c r="D46">
        <v>0</v>
      </c>
      <c r="E46">
        <v>0</v>
      </c>
      <c r="F46">
        <v>0</v>
      </c>
      <c r="G46">
        <v>0</v>
      </c>
    </row>
    <row r="47" spans="2:7" x14ac:dyDescent="0.2">
      <c r="B47" t="s">
        <v>50</v>
      </c>
      <c r="C47">
        <v>10500</v>
      </c>
      <c r="D47" s="14">
        <f>C47*1.03</f>
        <v>10815</v>
      </c>
      <c r="E47" s="14">
        <f t="shared" ref="E47:G47" si="4">D47*1.03</f>
        <v>11139.45</v>
      </c>
      <c r="F47" s="14">
        <f t="shared" si="4"/>
        <v>11473.633500000002</v>
      </c>
      <c r="G47" s="14">
        <f t="shared" si="4"/>
        <v>11817.842505000002</v>
      </c>
    </row>
    <row r="48" spans="2:7" x14ac:dyDescent="0.2">
      <c r="B48" t="s">
        <v>37</v>
      </c>
      <c r="C48" s="14">
        <v>9645.48</v>
      </c>
      <c r="D48" s="14">
        <v>9961.48</v>
      </c>
      <c r="E48" s="14">
        <v>10287.879999999999</v>
      </c>
      <c r="F48" s="14">
        <v>10624.94</v>
      </c>
      <c r="G48" s="14">
        <v>10973.05</v>
      </c>
    </row>
    <row r="49" spans="2:7" x14ac:dyDescent="0.2">
      <c r="B49" s="1" t="s">
        <v>49</v>
      </c>
      <c r="C49" s="15">
        <f>SUM(C35:C48)</f>
        <v>66862</v>
      </c>
      <c r="D49" s="15">
        <f t="shared" ref="D49:G49" si="5">SUM(D35:D48)</f>
        <v>39389.25</v>
      </c>
      <c r="E49" s="15">
        <f t="shared" si="5"/>
        <v>42904.987500000003</v>
      </c>
      <c r="F49" s="15">
        <f t="shared" si="5"/>
        <v>40393.153625000006</v>
      </c>
      <c r="G49" s="15">
        <f t="shared" si="5"/>
        <v>40922.693183750001</v>
      </c>
    </row>
    <row r="53" spans="2:7" x14ac:dyDescent="0.2">
      <c r="B53" s="1" t="s">
        <v>66</v>
      </c>
    </row>
    <row r="54" spans="2:7" x14ac:dyDescent="0.2">
      <c r="B54" t="s">
        <v>58</v>
      </c>
      <c r="C54" t="s">
        <v>99</v>
      </c>
    </row>
    <row r="55" spans="2:7" x14ac:dyDescent="0.2">
      <c r="B55" t="s">
        <v>59</v>
      </c>
      <c r="C55">
        <v>400000</v>
      </c>
    </row>
    <row r="56" spans="2:7" x14ac:dyDescent="0.2">
      <c r="B56" t="s">
        <v>70</v>
      </c>
      <c r="C56">
        <v>2.5</v>
      </c>
    </row>
    <row r="57" spans="2:7" x14ac:dyDescent="0.2">
      <c r="B57" t="s">
        <v>60</v>
      </c>
      <c r="C57" t="s">
        <v>68</v>
      </c>
    </row>
    <row r="58" spans="2:7" x14ac:dyDescent="0.2">
      <c r="B58" t="s">
        <v>61</v>
      </c>
      <c r="C58" t="s">
        <v>74</v>
      </c>
    </row>
    <row r="59" spans="2:7" x14ac:dyDescent="0.2">
      <c r="B59" t="s">
        <v>62</v>
      </c>
      <c r="C59" t="s">
        <v>72</v>
      </c>
    </row>
    <row r="60" spans="2:7" x14ac:dyDescent="0.2">
      <c r="B60" t="s">
        <v>63</v>
      </c>
      <c r="C60" s="4">
        <v>44197</v>
      </c>
    </row>
    <row r="61" spans="2:7" x14ac:dyDescent="0.2">
      <c r="B61" t="s">
        <v>64</v>
      </c>
      <c r="C61" t="s">
        <v>69</v>
      </c>
    </row>
    <row r="62" spans="2:7" x14ac:dyDescent="0.2">
      <c r="B62" t="s">
        <v>83</v>
      </c>
      <c r="C62" t="s">
        <v>84</v>
      </c>
    </row>
    <row r="63" spans="2:7" x14ac:dyDescent="0.2">
      <c r="B63" t="s">
        <v>85</v>
      </c>
      <c r="C63" t="s">
        <v>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E6D28-D27A-2347-B827-25B2E1896435}">
  <dimension ref="A2:H362"/>
  <sheetViews>
    <sheetView topLeftCell="A27" workbookViewId="0">
      <selection activeCell="G40" sqref="G40"/>
    </sheetView>
    <sheetView topLeftCell="A361" workbookViewId="1">
      <selection activeCell="K397" sqref="K397"/>
    </sheetView>
  </sheetViews>
  <sheetFormatPr baseColWidth="10" defaultRowHeight="16" x14ac:dyDescent="0.2"/>
  <cols>
    <col min="3" max="4" width="12.6640625" bestFit="1" customWidth="1"/>
    <col min="5" max="5" width="10.6640625" bestFit="1" customWidth="1"/>
    <col min="6" max="6" width="15.33203125" bestFit="1" customWidth="1"/>
  </cols>
  <sheetData>
    <row r="2" spans="1:8" ht="18" x14ac:dyDescent="0.2">
      <c r="B2" s="19" t="s">
        <v>94</v>
      </c>
      <c r="C2" s="19" t="s">
        <v>95</v>
      </c>
      <c r="D2" s="19" t="s">
        <v>96</v>
      </c>
      <c r="E2" s="19" t="s">
        <v>97</v>
      </c>
      <c r="F2" s="19" t="s">
        <v>98</v>
      </c>
    </row>
    <row r="3" spans="1:8" ht="18" x14ac:dyDescent="0.2">
      <c r="B3" s="16">
        <v>1</v>
      </c>
      <c r="C3" s="18">
        <v>1577.8</v>
      </c>
      <c r="D3" s="18">
        <v>748.77</v>
      </c>
      <c r="E3" s="20">
        <v>829.03</v>
      </c>
      <c r="F3" s="18">
        <v>399251.23</v>
      </c>
    </row>
    <row r="4" spans="1:8" ht="18" x14ac:dyDescent="0.2">
      <c r="B4" s="16">
        <v>2</v>
      </c>
      <c r="C4" s="18">
        <v>1577.8</v>
      </c>
      <c r="D4" s="18">
        <v>750.33</v>
      </c>
      <c r="E4" s="20">
        <v>827.47</v>
      </c>
      <c r="F4" s="18">
        <v>398500.9</v>
      </c>
    </row>
    <row r="5" spans="1:8" ht="18" x14ac:dyDescent="0.2">
      <c r="B5" s="16">
        <v>3</v>
      </c>
      <c r="C5" s="18">
        <v>1577.8</v>
      </c>
      <c r="D5" s="18">
        <v>751.88</v>
      </c>
      <c r="E5" s="20">
        <v>825.92</v>
      </c>
      <c r="F5" s="18">
        <v>397749.02</v>
      </c>
    </row>
    <row r="6" spans="1:8" ht="18" x14ac:dyDescent="0.2">
      <c r="B6" s="16">
        <v>4</v>
      </c>
      <c r="C6" s="18">
        <v>1577.8</v>
      </c>
      <c r="D6" s="18">
        <v>753.44</v>
      </c>
      <c r="E6" s="20">
        <v>824.36</v>
      </c>
      <c r="F6" s="18">
        <v>396995.58</v>
      </c>
    </row>
    <row r="7" spans="1:8" ht="18" x14ac:dyDescent="0.2">
      <c r="B7" s="16">
        <v>5</v>
      </c>
      <c r="C7" s="18">
        <v>1577.8</v>
      </c>
      <c r="D7" s="18">
        <v>755</v>
      </c>
      <c r="E7" s="20">
        <v>822.8</v>
      </c>
      <c r="F7" s="18">
        <v>396240.58</v>
      </c>
    </row>
    <row r="8" spans="1:8" ht="18" x14ac:dyDescent="0.2">
      <c r="B8" s="16">
        <v>6</v>
      </c>
      <c r="C8" s="18">
        <v>1577.8</v>
      </c>
      <c r="D8" s="18">
        <v>756.57</v>
      </c>
      <c r="E8" s="20">
        <v>821.23</v>
      </c>
      <c r="F8" s="18">
        <v>395484.01</v>
      </c>
    </row>
    <row r="9" spans="1:8" ht="18" x14ac:dyDescent="0.2">
      <c r="B9" s="16">
        <v>7</v>
      </c>
      <c r="C9" s="18">
        <v>1577.8</v>
      </c>
      <c r="D9" s="18">
        <v>758.13</v>
      </c>
      <c r="E9" s="20">
        <v>819.67</v>
      </c>
      <c r="F9" s="18">
        <v>394725.88</v>
      </c>
    </row>
    <row r="10" spans="1:8" ht="18" x14ac:dyDescent="0.2">
      <c r="B10" s="16">
        <v>8</v>
      </c>
      <c r="C10" s="18">
        <v>1577.8</v>
      </c>
      <c r="D10" s="18">
        <v>759.71</v>
      </c>
      <c r="E10" s="20">
        <v>818.09</v>
      </c>
      <c r="F10" s="18">
        <v>393966.17</v>
      </c>
    </row>
    <row r="11" spans="1:8" ht="18" x14ac:dyDescent="0.2">
      <c r="B11" s="16">
        <v>9</v>
      </c>
      <c r="C11" s="18">
        <v>1577.8</v>
      </c>
      <c r="D11" s="18">
        <v>761.28</v>
      </c>
      <c r="E11" s="20">
        <v>816.52</v>
      </c>
      <c r="F11" s="18">
        <v>393204.89</v>
      </c>
    </row>
    <row r="12" spans="1:8" ht="18" x14ac:dyDescent="0.2">
      <c r="B12" s="16">
        <v>10</v>
      </c>
      <c r="C12" s="18">
        <v>1577.8</v>
      </c>
      <c r="D12" s="18">
        <v>762.86</v>
      </c>
      <c r="E12" s="20">
        <v>814.94</v>
      </c>
      <c r="F12" s="18">
        <v>392442.03</v>
      </c>
    </row>
    <row r="13" spans="1:8" ht="18" x14ac:dyDescent="0.2">
      <c r="B13" s="16">
        <v>11</v>
      </c>
      <c r="C13" s="18">
        <v>1577.8</v>
      </c>
      <c r="D13" s="18">
        <v>764.44</v>
      </c>
      <c r="E13" s="20">
        <v>813.36</v>
      </c>
      <c r="F13" s="18">
        <v>391677.59</v>
      </c>
    </row>
    <row r="14" spans="1:8" ht="18" x14ac:dyDescent="0.2">
      <c r="A14" s="6"/>
      <c r="B14" s="16">
        <v>12</v>
      </c>
      <c r="C14" s="18">
        <v>1577.8</v>
      </c>
      <c r="D14" s="18">
        <v>766.02</v>
      </c>
      <c r="E14" s="20">
        <v>811.78</v>
      </c>
      <c r="F14" s="18">
        <v>390911.57</v>
      </c>
      <c r="G14" s="17">
        <f>SUM(D3:D14)</f>
        <v>9088.43</v>
      </c>
      <c r="H14" s="17">
        <f>SUM(E3:E14)</f>
        <v>9845.1700000000019</v>
      </c>
    </row>
    <row r="15" spans="1:8" ht="18" x14ac:dyDescent="0.2">
      <c r="B15" s="16">
        <v>13</v>
      </c>
      <c r="C15" s="18">
        <v>1577.8</v>
      </c>
      <c r="D15" s="18">
        <v>767.61</v>
      </c>
      <c r="E15" s="21">
        <v>810.19</v>
      </c>
      <c r="F15" s="18">
        <v>390143.96</v>
      </c>
    </row>
    <row r="16" spans="1:8" ht="18" x14ac:dyDescent="0.2">
      <c r="B16" s="16">
        <v>14</v>
      </c>
      <c r="C16" s="18">
        <v>1577.8</v>
      </c>
      <c r="D16" s="18">
        <v>769.2</v>
      </c>
      <c r="E16" s="21">
        <v>808.6</v>
      </c>
      <c r="F16" s="18">
        <v>389374.76</v>
      </c>
    </row>
    <row r="17" spans="1:8" ht="18" x14ac:dyDescent="0.2">
      <c r="B17" s="16">
        <v>15</v>
      </c>
      <c r="C17" s="18">
        <v>1577.8</v>
      </c>
      <c r="D17" s="18">
        <v>770.8</v>
      </c>
      <c r="E17" s="21">
        <v>807</v>
      </c>
      <c r="F17" s="18">
        <v>388603.96</v>
      </c>
    </row>
    <row r="18" spans="1:8" ht="18" x14ac:dyDescent="0.2">
      <c r="B18" s="16">
        <v>16</v>
      </c>
      <c r="C18" s="18">
        <v>1577.8</v>
      </c>
      <c r="D18" s="18">
        <v>772.39</v>
      </c>
      <c r="E18" s="21">
        <v>805.41</v>
      </c>
      <c r="F18" s="18">
        <v>387831.57</v>
      </c>
    </row>
    <row r="19" spans="1:8" ht="18" x14ac:dyDescent="0.2">
      <c r="B19" s="16">
        <v>17</v>
      </c>
      <c r="C19" s="18">
        <v>1577.8</v>
      </c>
      <c r="D19" s="18">
        <v>773.99</v>
      </c>
      <c r="E19" s="21">
        <v>803.81</v>
      </c>
      <c r="F19" s="18">
        <v>387057.58</v>
      </c>
    </row>
    <row r="20" spans="1:8" ht="18" x14ac:dyDescent="0.2">
      <c r="B20" s="16">
        <v>18</v>
      </c>
      <c r="C20" s="18">
        <v>1577.8</v>
      </c>
      <c r="D20" s="18">
        <v>775.6</v>
      </c>
      <c r="E20" s="21">
        <v>802.2</v>
      </c>
      <c r="F20" s="18">
        <v>386281.98</v>
      </c>
    </row>
    <row r="21" spans="1:8" ht="18" x14ac:dyDescent="0.2">
      <c r="B21" s="16">
        <v>19</v>
      </c>
      <c r="C21" s="18">
        <v>1577.8</v>
      </c>
      <c r="D21" s="18">
        <v>777.21</v>
      </c>
      <c r="E21" s="21">
        <v>800.59</v>
      </c>
      <c r="F21" s="18">
        <v>385504.77</v>
      </c>
    </row>
    <row r="22" spans="1:8" ht="18" x14ac:dyDescent="0.2">
      <c r="B22" s="16">
        <v>20</v>
      </c>
      <c r="C22" s="18">
        <v>1577.8</v>
      </c>
      <c r="D22" s="18">
        <v>778.82</v>
      </c>
      <c r="E22" s="21">
        <v>798.98</v>
      </c>
      <c r="F22" s="18">
        <v>384725.95</v>
      </c>
    </row>
    <row r="23" spans="1:8" ht="18" x14ac:dyDescent="0.2">
      <c r="B23" s="16">
        <v>21</v>
      </c>
      <c r="C23" s="18">
        <v>1577.8</v>
      </c>
      <c r="D23" s="18">
        <v>780.43</v>
      </c>
      <c r="E23" s="21">
        <v>797.37</v>
      </c>
      <c r="F23" s="18">
        <v>383945.52</v>
      </c>
    </row>
    <row r="24" spans="1:8" ht="18" x14ac:dyDescent="0.2">
      <c r="B24" s="16">
        <v>22</v>
      </c>
      <c r="C24" s="18">
        <v>1577.8</v>
      </c>
      <c r="D24" s="18">
        <v>782.05</v>
      </c>
      <c r="E24" s="21">
        <v>795.75</v>
      </c>
      <c r="F24" s="18">
        <v>383163.47</v>
      </c>
    </row>
    <row r="25" spans="1:8" ht="18" x14ac:dyDescent="0.2">
      <c r="B25" s="16">
        <v>23</v>
      </c>
      <c r="C25" s="18">
        <v>1577.8</v>
      </c>
      <c r="D25" s="18">
        <v>783.67</v>
      </c>
      <c r="E25" s="21">
        <v>794.13</v>
      </c>
      <c r="F25" s="18">
        <v>382379.8</v>
      </c>
    </row>
    <row r="26" spans="1:8" ht="18" x14ac:dyDescent="0.2">
      <c r="A26" s="6"/>
      <c r="B26" s="16">
        <v>24</v>
      </c>
      <c r="C26" s="18">
        <v>1577.8</v>
      </c>
      <c r="D26" s="18">
        <v>785.29</v>
      </c>
      <c r="E26" s="21">
        <v>792.51</v>
      </c>
      <c r="F26" s="18">
        <v>381594.51</v>
      </c>
      <c r="G26" s="17">
        <f>SUM(D15:D26)</f>
        <v>9317.0600000000013</v>
      </c>
      <c r="H26" s="17">
        <f>SUM(E15:E26)</f>
        <v>9616.5400000000009</v>
      </c>
    </row>
    <row r="27" spans="1:8" ht="18" x14ac:dyDescent="0.2">
      <c r="B27" s="16">
        <v>25</v>
      </c>
      <c r="C27" s="18">
        <v>1577.8</v>
      </c>
      <c r="D27" s="18">
        <v>786.92</v>
      </c>
      <c r="E27" s="22">
        <v>790.88</v>
      </c>
      <c r="F27" s="18">
        <v>380807.59</v>
      </c>
    </row>
    <row r="28" spans="1:8" ht="18" x14ac:dyDescent="0.2">
      <c r="B28" s="16">
        <v>26</v>
      </c>
      <c r="C28" s="18">
        <v>1577.8</v>
      </c>
      <c r="D28" s="18">
        <v>788.55</v>
      </c>
      <c r="E28" s="22">
        <v>789.25</v>
      </c>
      <c r="F28" s="18">
        <v>380019.04</v>
      </c>
    </row>
    <row r="29" spans="1:8" ht="18" x14ac:dyDescent="0.2">
      <c r="B29" s="16">
        <v>27</v>
      </c>
      <c r="C29" s="18">
        <v>1577.8</v>
      </c>
      <c r="D29" s="18">
        <v>790.19</v>
      </c>
      <c r="E29" s="22">
        <v>787.61</v>
      </c>
      <c r="F29" s="18">
        <v>379228.85</v>
      </c>
    </row>
    <row r="30" spans="1:8" ht="18" x14ac:dyDescent="0.2">
      <c r="B30" s="16">
        <v>28</v>
      </c>
      <c r="C30" s="18">
        <v>1577.8</v>
      </c>
      <c r="D30" s="18">
        <v>791.82</v>
      </c>
      <c r="E30" s="22">
        <v>785.98</v>
      </c>
      <c r="F30" s="18">
        <v>378437.03</v>
      </c>
    </row>
    <row r="31" spans="1:8" ht="18" x14ac:dyDescent="0.2">
      <c r="B31" s="16">
        <v>29</v>
      </c>
      <c r="C31" s="18">
        <v>1577.8</v>
      </c>
      <c r="D31" s="18">
        <v>793.46</v>
      </c>
      <c r="E31" s="22">
        <v>784.34</v>
      </c>
      <c r="F31" s="18">
        <v>377643.57</v>
      </c>
    </row>
    <row r="32" spans="1:8" ht="18" x14ac:dyDescent="0.2">
      <c r="B32" s="16">
        <v>30</v>
      </c>
      <c r="C32" s="18">
        <v>1577.8</v>
      </c>
      <c r="D32" s="18">
        <v>795.11</v>
      </c>
      <c r="E32" s="22">
        <v>782.69</v>
      </c>
      <c r="F32" s="18">
        <v>376848.46</v>
      </c>
    </row>
    <row r="33" spans="1:8" ht="18" x14ac:dyDescent="0.2">
      <c r="B33" s="16">
        <v>31</v>
      </c>
      <c r="C33" s="18">
        <v>1577.8</v>
      </c>
      <c r="D33" s="18">
        <v>796.76</v>
      </c>
      <c r="E33" s="22">
        <v>781.04</v>
      </c>
      <c r="F33" s="18">
        <v>376051.7</v>
      </c>
    </row>
    <row r="34" spans="1:8" ht="18" x14ac:dyDescent="0.2">
      <c r="B34" s="16">
        <v>32</v>
      </c>
      <c r="C34" s="18">
        <v>1577.8</v>
      </c>
      <c r="D34" s="18">
        <v>798.41</v>
      </c>
      <c r="E34" s="22">
        <v>779.39</v>
      </c>
      <c r="F34" s="18">
        <v>375253.29</v>
      </c>
    </row>
    <row r="35" spans="1:8" ht="18" x14ac:dyDescent="0.2">
      <c r="B35" s="16">
        <v>33</v>
      </c>
      <c r="C35" s="18">
        <v>1577.8</v>
      </c>
      <c r="D35" s="18">
        <v>800.06</v>
      </c>
      <c r="E35" s="22">
        <v>777.74</v>
      </c>
      <c r="F35" s="18">
        <v>374453.23</v>
      </c>
    </row>
    <row r="36" spans="1:8" ht="18" x14ac:dyDescent="0.2">
      <c r="B36" s="16">
        <v>34</v>
      </c>
      <c r="C36" s="18">
        <v>1577.8</v>
      </c>
      <c r="D36" s="18">
        <v>801.72</v>
      </c>
      <c r="E36" s="22">
        <v>776.08</v>
      </c>
      <c r="F36" s="18">
        <v>373651.51</v>
      </c>
    </row>
    <row r="37" spans="1:8" ht="18" x14ac:dyDescent="0.2">
      <c r="B37" s="16">
        <v>35</v>
      </c>
      <c r="C37" s="18">
        <v>1577.8</v>
      </c>
      <c r="D37" s="18">
        <v>803.38</v>
      </c>
      <c r="E37" s="22">
        <v>774.42</v>
      </c>
      <c r="F37" s="18">
        <v>372848.13</v>
      </c>
    </row>
    <row r="38" spans="1:8" ht="18" x14ac:dyDescent="0.2">
      <c r="A38" s="6"/>
      <c r="B38" s="16">
        <v>36</v>
      </c>
      <c r="C38" s="18">
        <v>1577.8</v>
      </c>
      <c r="D38" s="18">
        <v>805.05</v>
      </c>
      <c r="E38" s="22">
        <v>772.75</v>
      </c>
      <c r="F38" s="18">
        <v>372043.08</v>
      </c>
      <c r="G38" s="17">
        <f>SUM(D27:D38)</f>
        <v>9551.43</v>
      </c>
      <c r="H38" s="17">
        <f>SUM(E27:E38)</f>
        <v>9382.17</v>
      </c>
    </row>
    <row r="39" spans="1:8" ht="18" x14ac:dyDescent="0.2">
      <c r="B39" s="16">
        <v>37</v>
      </c>
      <c r="C39" s="18">
        <v>1577.8</v>
      </c>
      <c r="D39" s="18">
        <v>806.72</v>
      </c>
      <c r="E39" s="23">
        <v>771.08</v>
      </c>
      <c r="F39" s="18">
        <v>371236.36</v>
      </c>
    </row>
    <row r="40" spans="1:8" ht="18" x14ac:dyDescent="0.2">
      <c r="B40" s="16">
        <v>38</v>
      </c>
      <c r="C40" s="18">
        <v>1577.8</v>
      </c>
      <c r="D40" s="18">
        <v>808.39</v>
      </c>
      <c r="E40" s="23">
        <v>769.41</v>
      </c>
      <c r="F40" s="18">
        <v>370427.97</v>
      </c>
    </row>
    <row r="41" spans="1:8" ht="18" x14ac:dyDescent="0.2">
      <c r="B41" s="16">
        <v>39</v>
      </c>
      <c r="C41" s="18">
        <v>1577.8</v>
      </c>
      <c r="D41" s="18">
        <v>810.06</v>
      </c>
      <c r="E41" s="23">
        <v>767.74</v>
      </c>
      <c r="F41" s="18">
        <v>369617.91</v>
      </c>
    </row>
    <row r="42" spans="1:8" ht="18" x14ac:dyDescent="0.2">
      <c r="B42" s="16">
        <v>40</v>
      </c>
      <c r="C42" s="18">
        <v>1577.8</v>
      </c>
      <c r="D42" s="18">
        <v>811.74</v>
      </c>
      <c r="E42" s="23">
        <v>766.06</v>
      </c>
      <c r="F42" s="18">
        <v>368806.17</v>
      </c>
    </row>
    <row r="43" spans="1:8" ht="18" x14ac:dyDescent="0.2">
      <c r="B43" s="16">
        <v>41</v>
      </c>
      <c r="C43" s="18">
        <v>1577.8</v>
      </c>
      <c r="D43" s="18">
        <v>813.43</v>
      </c>
      <c r="E43" s="23">
        <v>764.37</v>
      </c>
      <c r="F43" s="18">
        <v>367992.74</v>
      </c>
    </row>
    <row r="44" spans="1:8" ht="18" x14ac:dyDescent="0.2">
      <c r="B44" s="16">
        <v>42</v>
      </c>
      <c r="C44" s="18">
        <v>1577.8</v>
      </c>
      <c r="D44" s="18">
        <v>815.11</v>
      </c>
      <c r="E44" s="23">
        <v>762.69</v>
      </c>
      <c r="F44" s="18">
        <v>367177.63</v>
      </c>
    </row>
    <row r="45" spans="1:8" ht="18" x14ac:dyDescent="0.2">
      <c r="B45" s="16">
        <v>43</v>
      </c>
      <c r="C45" s="18">
        <v>1577.8</v>
      </c>
      <c r="D45" s="18">
        <v>816.8</v>
      </c>
      <c r="E45" s="23">
        <v>761</v>
      </c>
      <c r="F45" s="18">
        <v>366360.83</v>
      </c>
    </row>
    <row r="46" spans="1:8" ht="18" x14ac:dyDescent="0.2">
      <c r="B46" s="16">
        <v>44</v>
      </c>
      <c r="C46" s="18">
        <v>1577.8</v>
      </c>
      <c r="D46" s="18">
        <v>818.49</v>
      </c>
      <c r="E46" s="23">
        <v>759.31</v>
      </c>
      <c r="F46" s="18">
        <v>365542.34</v>
      </c>
    </row>
    <row r="47" spans="1:8" ht="18" x14ac:dyDescent="0.2">
      <c r="B47" s="16">
        <v>45</v>
      </c>
      <c r="C47" s="18">
        <v>1577.8</v>
      </c>
      <c r="D47" s="18">
        <v>820.19</v>
      </c>
      <c r="E47" s="23">
        <v>757.61</v>
      </c>
      <c r="F47" s="18">
        <v>364722.15</v>
      </c>
    </row>
    <row r="48" spans="1:8" ht="18" x14ac:dyDescent="0.2">
      <c r="B48" s="16">
        <v>46</v>
      </c>
      <c r="C48" s="18">
        <v>1577.8</v>
      </c>
      <c r="D48" s="18">
        <v>821.89</v>
      </c>
      <c r="E48" s="23">
        <v>755.91</v>
      </c>
      <c r="F48" s="18">
        <v>363900.26</v>
      </c>
    </row>
    <row r="49" spans="1:6" ht="18" x14ac:dyDescent="0.2">
      <c r="B49" s="16">
        <v>47</v>
      </c>
      <c r="C49" s="18">
        <v>1577.8</v>
      </c>
      <c r="D49" s="18">
        <v>823.59</v>
      </c>
      <c r="E49" s="23">
        <v>754.21</v>
      </c>
      <c r="F49" s="18">
        <v>363076.67</v>
      </c>
    </row>
    <row r="50" spans="1:6" ht="18" x14ac:dyDescent="0.2">
      <c r="A50" s="6"/>
      <c r="B50" s="16">
        <v>48</v>
      </c>
      <c r="C50" s="18">
        <v>1577.8</v>
      </c>
      <c r="D50" s="18">
        <v>825.3</v>
      </c>
      <c r="E50" s="23">
        <v>752.5</v>
      </c>
      <c r="F50" s="18">
        <v>362251.37</v>
      </c>
    </row>
    <row r="51" spans="1:6" ht="18" x14ac:dyDescent="0.2">
      <c r="B51" s="16">
        <v>49</v>
      </c>
      <c r="C51" s="18">
        <v>1577.8</v>
      </c>
      <c r="D51" s="18">
        <v>827.01</v>
      </c>
      <c r="E51" s="24">
        <v>750.79</v>
      </c>
      <c r="F51" s="18">
        <v>361424.36</v>
      </c>
    </row>
    <row r="52" spans="1:6" ht="18" x14ac:dyDescent="0.2">
      <c r="B52" s="16">
        <v>50</v>
      </c>
      <c r="C52" s="18">
        <v>1577.8</v>
      </c>
      <c r="D52" s="18">
        <v>828.72</v>
      </c>
      <c r="E52" s="24">
        <v>749.08</v>
      </c>
      <c r="F52" s="18">
        <v>360595.64</v>
      </c>
    </row>
    <row r="53" spans="1:6" ht="18" x14ac:dyDescent="0.2">
      <c r="B53" s="16">
        <v>51</v>
      </c>
      <c r="C53" s="18">
        <v>1577.8</v>
      </c>
      <c r="D53" s="18">
        <v>830.44</v>
      </c>
      <c r="E53" s="24">
        <v>747.36</v>
      </c>
      <c r="F53" s="18">
        <v>359765.2</v>
      </c>
    </row>
    <row r="54" spans="1:6" ht="18" x14ac:dyDescent="0.2">
      <c r="B54" s="16">
        <v>52</v>
      </c>
      <c r="C54" s="18">
        <v>1577.8</v>
      </c>
      <c r="D54" s="18">
        <v>832.16</v>
      </c>
      <c r="E54" s="24">
        <v>745.64</v>
      </c>
      <c r="F54" s="18">
        <v>358933.04</v>
      </c>
    </row>
    <row r="55" spans="1:6" ht="18" x14ac:dyDescent="0.2">
      <c r="B55" s="16">
        <v>53</v>
      </c>
      <c r="C55" s="18">
        <v>1577.8</v>
      </c>
      <c r="D55" s="18">
        <v>833.89</v>
      </c>
      <c r="E55" s="24">
        <v>743.91</v>
      </c>
      <c r="F55" s="18">
        <v>358099.15</v>
      </c>
    </row>
    <row r="56" spans="1:6" ht="18" x14ac:dyDescent="0.2">
      <c r="B56" s="16">
        <v>54</v>
      </c>
      <c r="C56" s="18">
        <v>1577.8</v>
      </c>
      <c r="D56" s="18">
        <v>835.62</v>
      </c>
      <c r="E56" s="24">
        <v>742.18</v>
      </c>
      <c r="F56" s="18">
        <v>357263.53</v>
      </c>
    </row>
    <row r="57" spans="1:6" ht="18" x14ac:dyDescent="0.2">
      <c r="B57" s="16">
        <v>55</v>
      </c>
      <c r="C57" s="18">
        <v>1577.8</v>
      </c>
      <c r="D57" s="18">
        <v>837.35</v>
      </c>
      <c r="E57" s="24">
        <v>740.45</v>
      </c>
      <c r="F57" s="18">
        <v>356426.18</v>
      </c>
    </row>
    <row r="58" spans="1:6" ht="18" x14ac:dyDescent="0.2">
      <c r="B58" s="16">
        <v>56</v>
      </c>
      <c r="C58" s="18">
        <v>1577.8</v>
      </c>
      <c r="D58" s="18">
        <v>839.08</v>
      </c>
      <c r="E58" s="24">
        <v>738.72</v>
      </c>
      <c r="F58" s="18">
        <v>355587.1</v>
      </c>
    </row>
    <row r="59" spans="1:6" ht="18" x14ac:dyDescent="0.2">
      <c r="B59" s="16">
        <v>57</v>
      </c>
      <c r="C59" s="18">
        <v>1577.8</v>
      </c>
      <c r="D59" s="18">
        <v>840.82</v>
      </c>
      <c r="E59" s="24">
        <v>736.98</v>
      </c>
      <c r="F59" s="18">
        <v>354746.28</v>
      </c>
    </row>
    <row r="60" spans="1:6" ht="18" x14ac:dyDescent="0.2">
      <c r="B60" s="16">
        <v>58</v>
      </c>
      <c r="C60" s="18">
        <v>1577.8</v>
      </c>
      <c r="D60" s="18">
        <v>842.57</v>
      </c>
      <c r="E60" s="24">
        <v>735.23</v>
      </c>
      <c r="F60" s="18">
        <v>353903.71</v>
      </c>
    </row>
    <row r="61" spans="1:6" ht="18" x14ac:dyDescent="0.2">
      <c r="B61" s="16">
        <v>59</v>
      </c>
      <c r="C61" s="18">
        <v>1577.8</v>
      </c>
      <c r="D61" s="18">
        <v>844.31</v>
      </c>
      <c r="E61" s="24">
        <v>733.49</v>
      </c>
      <c r="F61" s="18">
        <v>353059.4</v>
      </c>
    </row>
    <row r="62" spans="1:6" ht="18" x14ac:dyDescent="0.2">
      <c r="A62" s="6"/>
      <c r="B62" s="16">
        <v>60</v>
      </c>
      <c r="C62" s="18">
        <v>1577.8</v>
      </c>
      <c r="D62" s="18">
        <v>846.06</v>
      </c>
      <c r="E62" s="24">
        <v>731.74</v>
      </c>
      <c r="F62" s="18">
        <v>352213.34</v>
      </c>
    </row>
    <row r="63" spans="1:6" ht="18" x14ac:dyDescent="0.2">
      <c r="B63" s="16">
        <v>61</v>
      </c>
      <c r="C63" s="18">
        <v>1577.8</v>
      </c>
      <c r="D63" s="18">
        <v>847.82</v>
      </c>
      <c r="E63" s="18">
        <v>729.98</v>
      </c>
      <c r="F63" s="18">
        <v>351365.52</v>
      </c>
    </row>
    <row r="64" spans="1:6" ht="18" x14ac:dyDescent="0.2">
      <c r="B64" s="16">
        <v>62</v>
      </c>
      <c r="C64" s="18">
        <v>1577.8</v>
      </c>
      <c r="D64" s="18">
        <v>849.57</v>
      </c>
      <c r="E64" s="18">
        <v>728.23</v>
      </c>
      <c r="F64" s="18">
        <v>350515.95</v>
      </c>
    </row>
    <row r="65" spans="2:6" ht="18" x14ac:dyDescent="0.2">
      <c r="B65" s="16">
        <v>63</v>
      </c>
      <c r="C65" s="18">
        <v>1577.8</v>
      </c>
      <c r="D65" s="18">
        <v>851.33</v>
      </c>
      <c r="E65" s="18">
        <v>726.47</v>
      </c>
      <c r="F65" s="18">
        <v>349664.62</v>
      </c>
    </row>
    <row r="66" spans="2:6" ht="18" x14ac:dyDescent="0.2">
      <c r="B66" s="16">
        <v>64</v>
      </c>
      <c r="C66" s="18">
        <v>1577.8</v>
      </c>
      <c r="D66" s="18">
        <v>853.1</v>
      </c>
      <c r="E66" s="18">
        <v>724.7</v>
      </c>
      <c r="F66" s="18">
        <v>348811.52000000002</v>
      </c>
    </row>
    <row r="67" spans="2:6" ht="18" x14ac:dyDescent="0.2">
      <c r="B67" s="16">
        <v>65</v>
      </c>
      <c r="C67" s="18">
        <v>1577.8</v>
      </c>
      <c r="D67" s="18">
        <v>854.87</v>
      </c>
      <c r="E67" s="18">
        <v>722.93</v>
      </c>
      <c r="F67" s="18">
        <v>347956.65</v>
      </c>
    </row>
    <row r="68" spans="2:6" ht="18" x14ac:dyDescent="0.2">
      <c r="B68" s="16">
        <v>66</v>
      </c>
      <c r="C68" s="18">
        <v>1577.8</v>
      </c>
      <c r="D68" s="18">
        <v>856.64</v>
      </c>
      <c r="E68" s="18">
        <v>721.16</v>
      </c>
      <c r="F68" s="18">
        <v>347100.01</v>
      </c>
    </row>
    <row r="69" spans="2:6" ht="18" x14ac:dyDescent="0.2">
      <c r="B69" s="16">
        <v>67</v>
      </c>
      <c r="C69" s="18">
        <v>1577.8</v>
      </c>
      <c r="D69" s="18">
        <v>858.41</v>
      </c>
      <c r="E69" s="18">
        <v>719.39</v>
      </c>
      <c r="F69" s="18">
        <v>346241.6</v>
      </c>
    </row>
    <row r="70" spans="2:6" ht="18" x14ac:dyDescent="0.2">
      <c r="B70" s="16">
        <v>68</v>
      </c>
      <c r="C70" s="18">
        <v>1577.8</v>
      </c>
      <c r="D70" s="18">
        <v>860.19</v>
      </c>
      <c r="E70" s="18">
        <v>717.61</v>
      </c>
      <c r="F70" s="18">
        <v>345381.41</v>
      </c>
    </row>
    <row r="71" spans="2:6" ht="18" x14ac:dyDescent="0.2">
      <c r="B71" s="16">
        <v>69</v>
      </c>
      <c r="C71" s="18">
        <v>1577.8</v>
      </c>
      <c r="D71" s="18">
        <v>861.97</v>
      </c>
      <c r="E71" s="18">
        <v>715.83</v>
      </c>
      <c r="F71" s="18">
        <v>344519.44</v>
      </c>
    </row>
    <row r="72" spans="2:6" ht="18" x14ac:dyDescent="0.2">
      <c r="B72" s="16">
        <v>70</v>
      </c>
      <c r="C72" s="18">
        <v>1577.8</v>
      </c>
      <c r="D72" s="18">
        <v>863.76</v>
      </c>
      <c r="E72" s="18">
        <v>714.04</v>
      </c>
      <c r="F72" s="18">
        <v>343655.67999999999</v>
      </c>
    </row>
    <row r="73" spans="2:6" ht="18" x14ac:dyDescent="0.2">
      <c r="B73" s="16">
        <v>71</v>
      </c>
      <c r="C73" s="18">
        <v>1577.8</v>
      </c>
      <c r="D73" s="18">
        <v>865.55</v>
      </c>
      <c r="E73" s="18">
        <v>712.25</v>
      </c>
      <c r="F73" s="18">
        <v>342790.13</v>
      </c>
    </row>
    <row r="74" spans="2:6" ht="18" x14ac:dyDescent="0.2">
      <c r="B74" s="16">
        <v>72</v>
      </c>
      <c r="C74" s="18">
        <v>1577.8</v>
      </c>
      <c r="D74" s="18">
        <v>867.35</v>
      </c>
      <c r="E74" s="18">
        <v>710.45</v>
      </c>
      <c r="F74" s="18">
        <v>341922.78</v>
      </c>
    </row>
    <row r="75" spans="2:6" ht="18" x14ac:dyDescent="0.2">
      <c r="B75" s="16">
        <v>73</v>
      </c>
      <c r="C75" s="18">
        <v>1577.8</v>
      </c>
      <c r="D75" s="18">
        <v>869.14</v>
      </c>
      <c r="E75" s="18">
        <v>708.66</v>
      </c>
      <c r="F75" s="18">
        <v>341053.64</v>
      </c>
    </row>
    <row r="76" spans="2:6" ht="18" x14ac:dyDescent="0.2">
      <c r="B76" s="16">
        <v>74</v>
      </c>
      <c r="C76" s="18">
        <v>1577.8</v>
      </c>
      <c r="D76" s="18">
        <v>870.94</v>
      </c>
      <c r="E76" s="18">
        <v>706.86</v>
      </c>
      <c r="F76" s="18">
        <v>340182.7</v>
      </c>
    </row>
    <row r="77" spans="2:6" ht="18" x14ac:dyDescent="0.2">
      <c r="B77" s="16">
        <v>75</v>
      </c>
      <c r="C77" s="18">
        <v>1577.8</v>
      </c>
      <c r="D77" s="18">
        <v>872.75</v>
      </c>
      <c r="E77" s="18">
        <v>705.05</v>
      </c>
      <c r="F77" s="18">
        <v>339309.95</v>
      </c>
    </row>
    <row r="78" spans="2:6" ht="18" x14ac:dyDescent="0.2">
      <c r="B78" s="16">
        <v>76</v>
      </c>
      <c r="C78" s="18">
        <v>1577.8</v>
      </c>
      <c r="D78" s="18">
        <v>874.56</v>
      </c>
      <c r="E78" s="18">
        <v>703.24</v>
      </c>
      <c r="F78" s="18">
        <v>338435.39</v>
      </c>
    </row>
    <row r="79" spans="2:6" ht="18" x14ac:dyDescent="0.2">
      <c r="B79" s="16">
        <v>77</v>
      </c>
      <c r="C79" s="18">
        <v>1577.8</v>
      </c>
      <c r="D79" s="18">
        <v>876.37</v>
      </c>
      <c r="E79" s="18">
        <v>701.43</v>
      </c>
      <c r="F79" s="18">
        <v>337559.02</v>
      </c>
    </row>
    <row r="80" spans="2:6" ht="18" x14ac:dyDescent="0.2">
      <c r="B80" s="16">
        <v>78</v>
      </c>
      <c r="C80" s="18">
        <v>1577.8</v>
      </c>
      <c r="D80" s="18">
        <v>878.19</v>
      </c>
      <c r="E80" s="18">
        <v>699.61</v>
      </c>
      <c r="F80" s="18">
        <v>336680.83</v>
      </c>
    </row>
    <row r="81" spans="2:6" ht="18" x14ac:dyDescent="0.2">
      <c r="B81" s="16">
        <v>79</v>
      </c>
      <c r="C81" s="18">
        <v>1577.8</v>
      </c>
      <c r="D81" s="18">
        <v>880.01</v>
      </c>
      <c r="E81" s="18">
        <v>697.79</v>
      </c>
      <c r="F81" s="18">
        <v>335800.82</v>
      </c>
    </row>
    <row r="82" spans="2:6" ht="18" x14ac:dyDescent="0.2">
      <c r="B82" s="16">
        <v>80</v>
      </c>
      <c r="C82" s="18">
        <v>1577.8</v>
      </c>
      <c r="D82" s="18">
        <v>881.83</v>
      </c>
      <c r="E82" s="18">
        <v>695.97</v>
      </c>
      <c r="F82" s="18">
        <v>334918.99</v>
      </c>
    </row>
    <row r="83" spans="2:6" ht="18" x14ac:dyDescent="0.2">
      <c r="B83" s="16">
        <v>81</v>
      </c>
      <c r="C83" s="18">
        <v>1577.8</v>
      </c>
      <c r="D83" s="18">
        <v>883.66</v>
      </c>
      <c r="E83" s="18">
        <v>694.14</v>
      </c>
      <c r="F83" s="18">
        <v>334035.33</v>
      </c>
    </row>
    <row r="84" spans="2:6" ht="18" x14ac:dyDescent="0.2">
      <c r="B84" s="16">
        <v>82</v>
      </c>
      <c r="C84" s="18">
        <v>1577.8</v>
      </c>
      <c r="D84" s="18">
        <v>885.49</v>
      </c>
      <c r="E84" s="18">
        <v>692.31</v>
      </c>
      <c r="F84" s="18">
        <v>333149.84000000003</v>
      </c>
    </row>
    <row r="85" spans="2:6" ht="18" x14ac:dyDescent="0.2">
      <c r="B85" s="16">
        <v>83</v>
      </c>
      <c r="C85" s="18">
        <v>1577.8</v>
      </c>
      <c r="D85" s="18">
        <v>887.33</v>
      </c>
      <c r="E85" s="18">
        <v>690.47</v>
      </c>
      <c r="F85" s="18">
        <v>332262.51</v>
      </c>
    </row>
    <row r="86" spans="2:6" ht="18" x14ac:dyDescent="0.2">
      <c r="B86" s="16">
        <v>84</v>
      </c>
      <c r="C86" s="18">
        <v>1577.8</v>
      </c>
      <c r="D86" s="18">
        <v>889.16</v>
      </c>
      <c r="E86" s="18">
        <v>688.64</v>
      </c>
      <c r="F86" s="18">
        <v>331373.34999999998</v>
      </c>
    </row>
    <row r="87" spans="2:6" ht="18" x14ac:dyDescent="0.2">
      <c r="B87" s="16">
        <v>85</v>
      </c>
      <c r="C87" s="18">
        <v>1577.8</v>
      </c>
      <c r="D87" s="18">
        <v>891.01</v>
      </c>
      <c r="E87" s="18">
        <v>686.79</v>
      </c>
      <c r="F87" s="18">
        <v>330482.34000000003</v>
      </c>
    </row>
    <row r="88" spans="2:6" ht="18" x14ac:dyDescent="0.2">
      <c r="B88" s="16">
        <v>86</v>
      </c>
      <c r="C88" s="18">
        <v>1577.8</v>
      </c>
      <c r="D88" s="18">
        <v>892.85</v>
      </c>
      <c r="E88" s="18">
        <v>684.95</v>
      </c>
      <c r="F88" s="18">
        <v>329589.49</v>
      </c>
    </row>
    <row r="89" spans="2:6" ht="18" x14ac:dyDescent="0.2">
      <c r="B89" s="16">
        <v>87</v>
      </c>
      <c r="C89" s="18">
        <v>1577.8</v>
      </c>
      <c r="D89" s="18">
        <v>894.7</v>
      </c>
      <c r="E89" s="18">
        <v>683.1</v>
      </c>
      <c r="F89" s="18">
        <v>328694.78999999998</v>
      </c>
    </row>
    <row r="90" spans="2:6" ht="18" x14ac:dyDescent="0.2">
      <c r="B90" s="16">
        <v>88</v>
      </c>
      <c r="C90" s="18">
        <v>1577.8</v>
      </c>
      <c r="D90" s="18">
        <v>896.56</v>
      </c>
      <c r="E90" s="18">
        <v>681.24</v>
      </c>
      <c r="F90" s="18">
        <v>327798.23</v>
      </c>
    </row>
    <row r="91" spans="2:6" ht="18" x14ac:dyDescent="0.2">
      <c r="B91" s="16">
        <v>89</v>
      </c>
      <c r="C91" s="18">
        <v>1577.8</v>
      </c>
      <c r="D91" s="18">
        <v>898.42</v>
      </c>
      <c r="E91" s="18">
        <v>679.38</v>
      </c>
      <c r="F91" s="18">
        <v>326899.81</v>
      </c>
    </row>
    <row r="92" spans="2:6" ht="18" x14ac:dyDescent="0.2">
      <c r="B92" s="16">
        <v>90</v>
      </c>
      <c r="C92" s="18">
        <v>1577.8</v>
      </c>
      <c r="D92" s="18">
        <v>900.28</v>
      </c>
      <c r="E92" s="18">
        <v>677.52</v>
      </c>
      <c r="F92" s="18">
        <v>325999.53000000003</v>
      </c>
    </row>
    <row r="93" spans="2:6" ht="18" x14ac:dyDescent="0.2">
      <c r="B93" s="16">
        <v>91</v>
      </c>
      <c r="C93" s="18">
        <v>1577.8</v>
      </c>
      <c r="D93" s="18">
        <v>902.14</v>
      </c>
      <c r="E93" s="18">
        <v>675.66</v>
      </c>
      <c r="F93" s="18">
        <v>325097.39</v>
      </c>
    </row>
    <row r="94" spans="2:6" ht="18" x14ac:dyDescent="0.2">
      <c r="B94" s="16">
        <v>92</v>
      </c>
      <c r="C94" s="18">
        <v>1577.8</v>
      </c>
      <c r="D94" s="18">
        <v>904.01</v>
      </c>
      <c r="E94" s="18">
        <v>673.79</v>
      </c>
      <c r="F94" s="18">
        <v>324193.38</v>
      </c>
    </row>
    <row r="95" spans="2:6" ht="18" x14ac:dyDescent="0.2">
      <c r="B95" s="16">
        <v>93</v>
      </c>
      <c r="C95" s="18">
        <v>1577.8</v>
      </c>
      <c r="D95" s="18">
        <v>905.89</v>
      </c>
      <c r="E95" s="18">
        <v>671.91</v>
      </c>
      <c r="F95" s="18">
        <v>323287.49</v>
      </c>
    </row>
    <row r="96" spans="2:6" ht="18" x14ac:dyDescent="0.2">
      <c r="B96" s="16">
        <v>94</v>
      </c>
      <c r="C96" s="18">
        <v>1577.8</v>
      </c>
      <c r="D96" s="18">
        <v>907.77</v>
      </c>
      <c r="E96" s="18">
        <v>670.03</v>
      </c>
      <c r="F96" s="18">
        <v>322379.71999999997</v>
      </c>
    </row>
    <row r="97" spans="2:6" ht="18" x14ac:dyDescent="0.2">
      <c r="B97" s="16">
        <v>95</v>
      </c>
      <c r="C97" s="18">
        <v>1577.8</v>
      </c>
      <c r="D97" s="18">
        <v>909.65</v>
      </c>
      <c r="E97" s="18">
        <v>668.15</v>
      </c>
      <c r="F97" s="18">
        <v>321470.07</v>
      </c>
    </row>
    <row r="98" spans="2:6" ht="18" x14ac:dyDescent="0.2">
      <c r="B98" s="16">
        <v>96</v>
      </c>
      <c r="C98" s="18">
        <v>1577.8</v>
      </c>
      <c r="D98" s="18">
        <v>911.53</v>
      </c>
      <c r="E98" s="18">
        <v>666.27</v>
      </c>
      <c r="F98" s="18">
        <v>320558.53999999998</v>
      </c>
    </row>
    <row r="99" spans="2:6" ht="18" x14ac:dyDescent="0.2">
      <c r="B99" s="16">
        <v>97</v>
      </c>
      <c r="C99" s="18">
        <v>1577.8</v>
      </c>
      <c r="D99" s="18">
        <v>913.42</v>
      </c>
      <c r="E99" s="18">
        <v>664.38</v>
      </c>
      <c r="F99" s="18">
        <v>319645.12</v>
      </c>
    </row>
    <row r="100" spans="2:6" ht="18" x14ac:dyDescent="0.2">
      <c r="B100" s="16">
        <v>98</v>
      </c>
      <c r="C100" s="18">
        <v>1577.8</v>
      </c>
      <c r="D100" s="18">
        <v>915.31</v>
      </c>
      <c r="E100" s="18">
        <v>662.49</v>
      </c>
      <c r="F100" s="18">
        <v>318729.81</v>
      </c>
    </row>
    <row r="101" spans="2:6" ht="18" x14ac:dyDescent="0.2">
      <c r="B101" s="16">
        <v>99</v>
      </c>
      <c r="C101" s="18">
        <v>1577.8</v>
      </c>
      <c r="D101" s="18">
        <v>917.21</v>
      </c>
      <c r="E101" s="18">
        <v>660.59</v>
      </c>
      <c r="F101" s="18">
        <v>317812.59999999998</v>
      </c>
    </row>
    <row r="102" spans="2:6" ht="18" x14ac:dyDescent="0.2">
      <c r="B102" s="16">
        <v>100</v>
      </c>
      <c r="C102" s="18">
        <v>1577.8</v>
      </c>
      <c r="D102" s="18">
        <v>919.11</v>
      </c>
      <c r="E102" s="18">
        <v>658.69</v>
      </c>
      <c r="F102" s="18">
        <v>316893.49</v>
      </c>
    </row>
    <row r="103" spans="2:6" ht="18" x14ac:dyDescent="0.2">
      <c r="B103" s="16">
        <v>101</v>
      </c>
      <c r="C103" s="18">
        <v>1577.8</v>
      </c>
      <c r="D103" s="18">
        <v>921.02</v>
      </c>
      <c r="E103" s="18">
        <v>656.78</v>
      </c>
      <c r="F103" s="18">
        <v>315972.46999999997</v>
      </c>
    </row>
    <row r="104" spans="2:6" ht="18" x14ac:dyDescent="0.2">
      <c r="B104" s="16">
        <v>102</v>
      </c>
      <c r="C104" s="18">
        <v>1577.8</v>
      </c>
      <c r="D104" s="18">
        <v>922.93</v>
      </c>
      <c r="E104" s="18">
        <v>654.87</v>
      </c>
      <c r="F104" s="18">
        <v>315049.53999999998</v>
      </c>
    </row>
    <row r="105" spans="2:6" ht="18" x14ac:dyDescent="0.2">
      <c r="B105" s="16">
        <v>103</v>
      </c>
      <c r="C105" s="18">
        <v>1577.8</v>
      </c>
      <c r="D105" s="18">
        <v>924.84</v>
      </c>
      <c r="E105" s="18">
        <v>652.96</v>
      </c>
      <c r="F105" s="18">
        <v>314124.7</v>
      </c>
    </row>
    <row r="106" spans="2:6" ht="18" x14ac:dyDescent="0.2">
      <c r="B106" s="16">
        <v>104</v>
      </c>
      <c r="C106" s="18">
        <v>1577.8</v>
      </c>
      <c r="D106" s="18">
        <v>926.76</v>
      </c>
      <c r="E106" s="18">
        <v>651.04</v>
      </c>
      <c r="F106" s="18">
        <v>313197.94</v>
      </c>
    </row>
    <row r="107" spans="2:6" ht="18" x14ac:dyDescent="0.2">
      <c r="B107" s="16">
        <v>105</v>
      </c>
      <c r="C107" s="18">
        <v>1577.8</v>
      </c>
      <c r="D107" s="18">
        <v>928.68</v>
      </c>
      <c r="E107" s="18">
        <v>649.12</v>
      </c>
      <c r="F107" s="18">
        <v>312269.26</v>
      </c>
    </row>
    <row r="108" spans="2:6" ht="18" x14ac:dyDescent="0.2">
      <c r="B108" s="16">
        <v>106</v>
      </c>
      <c r="C108" s="18">
        <v>1577.8</v>
      </c>
      <c r="D108" s="18">
        <v>930.6</v>
      </c>
      <c r="E108" s="18">
        <v>647.20000000000005</v>
      </c>
      <c r="F108" s="18">
        <v>311338.65999999997</v>
      </c>
    </row>
    <row r="109" spans="2:6" ht="18" x14ac:dyDescent="0.2">
      <c r="B109" s="16">
        <v>107</v>
      </c>
      <c r="C109" s="18">
        <v>1577.8</v>
      </c>
      <c r="D109" s="18">
        <v>932.53</v>
      </c>
      <c r="E109" s="18">
        <v>645.27</v>
      </c>
      <c r="F109" s="18">
        <v>310406.13</v>
      </c>
    </row>
    <row r="110" spans="2:6" ht="18" x14ac:dyDescent="0.2">
      <c r="B110" s="16">
        <v>108</v>
      </c>
      <c r="C110" s="18">
        <v>1577.8</v>
      </c>
      <c r="D110" s="18">
        <v>934.46</v>
      </c>
      <c r="E110" s="18">
        <v>643.34</v>
      </c>
      <c r="F110" s="18">
        <v>309471.67</v>
      </c>
    </row>
    <row r="111" spans="2:6" ht="18" x14ac:dyDescent="0.2">
      <c r="B111" s="16">
        <v>109</v>
      </c>
      <c r="C111" s="18">
        <v>1577.8</v>
      </c>
      <c r="D111" s="18">
        <v>936.4</v>
      </c>
      <c r="E111" s="18">
        <v>641.4</v>
      </c>
      <c r="F111" s="18">
        <v>308535.27</v>
      </c>
    </row>
    <row r="112" spans="2:6" ht="18" x14ac:dyDescent="0.2">
      <c r="B112" s="16">
        <v>110</v>
      </c>
      <c r="C112" s="18">
        <v>1577.8</v>
      </c>
      <c r="D112" s="18">
        <v>938.34</v>
      </c>
      <c r="E112" s="18">
        <v>639.46</v>
      </c>
      <c r="F112" s="18">
        <v>307596.93</v>
      </c>
    </row>
    <row r="113" spans="2:6" ht="18" x14ac:dyDescent="0.2">
      <c r="B113" s="16">
        <v>111</v>
      </c>
      <c r="C113" s="18">
        <v>1577.8</v>
      </c>
      <c r="D113" s="18">
        <v>940.29</v>
      </c>
      <c r="E113" s="18">
        <v>637.51</v>
      </c>
      <c r="F113" s="18">
        <v>306656.64000000001</v>
      </c>
    </row>
    <row r="114" spans="2:6" ht="18" x14ac:dyDescent="0.2">
      <c r="B114" s="16">
        <v>112</v>
      </c>
      <c r="C114" s="18">
        <v>1577.8</v>
      </c>
      <c r="D114" s="18">
        <v>942.23</v>
      </c>
      <c r="E114" s="18">
        <v>635.57000000000005</v>
      </c>
      <c r="F114" s="18">
        <v>305714.40999999997</v>
      </c>
    </row>
    <row r="115" spans="2:6" ht="18" x14ac:dyDescent="0.2">
      <c r="B115" s="16">
        <v>113</v>
      </c>
      <c r="C115" s="18">
        <v>1577.8</v>
      </c>
      <c r="D115" s="18">
        <v>944.19</v>
      </c>
      <c r="E115" s="18">
        <v>633.61</v>
      </c>
      <c r="F115" s="18">
        <v>304770.21999999997</v>
      </c>
    </row>
    <row r="116" spans="2:6" ht="18" x14ac:dyDescent="0.2">
      <c r="B116" s="16">
        <v>114</v>
      </c>
      <c r="C116" s="18">
        <v>1577.8</v>
      </c>
      <c r="D116" s="18">
        <v>946.14</v>
      </c>
      <c r="E116" s="18">
        <v>631.66</v>
      </c>
      <c r="F116" s="18">
        <v>303824.08</v>
      </c>
    </row>
    <row r="117" spans="2:6" ht="18" x14ac:dyDescent="0.2">
      <c r="B117" s="16">
        <v>115</v>
      </c>
      <c r="C117" s="18">
        <v>1577.8</v>
      </c>
      <c r="D117" s="18">
        <v>948.1</v>
      </c>
      <c r="E117" s="18">
        <v>629.70000000000005</v>
      </c>
      <c r="F117" s="18">
        <v>302875.98</v>
      </c>
    </row>
    <row r="118" spans="2:6" ht="18" x14ac:dyDescent="0.2">
      <c r="B118" s="16">
        <v>116</v>
      </c>
      <c r="C118" s="18">
        <v>1577.8</v>
      </c>
      <c r="D118" s="18">
        <v>950.07</v>
      </c>
      <c r="E118" s="18">
        <v>627.73</v>
      </c>
      <c r="F118" s="18">
        <v>301925.90999999997</v>
      </c>
    </row>
    <row r="119" spans="2:6" ht="18" x14ac:dyDescent="0.2">
      <c r="B119" s="16">
        <v>117</v>
      </c>
      <c r="C119" s="18">
        <v>1577.8</v>
      </c>
      <c r="D119" s="18">
        <v>952.04</v>
      </c>
      <c r="E119" s="18">
        <v>625.76</v>
      </c>
      <c r="F119" s="18">
        <v>300973.87</v>
      </c>
    </row>
    <row r="120" spans="2:6" ht="18" x14ac:dyDescent="0.2">
      <c r="B120" s="16">
        <v>118</v>
      </c>
      <c r="C120" s="18">
        <v>1577.8</v>
      </c>
      <c r="D120" s="18">
        <v>954.01</v>
      </c>
      <c r="E120" s="18">
        <v>623.79</v>
      </c>
      <c r="F120" s="18">
        <v>300019.86</v>
      </c>
    </row>
    <row r="121" spans="2:6" ht="18" x14ac:dyDescent="0.2">
      <c r="B121" s="16">
        <v>119</v>
      </c>
      <c r="C121" s="18">
        <v>1577.8</v>
      </c>
      <c r="D121" s="18">
        <v>955.99</v>
      </c>
      <c r="E121" s="18">
        <v>621.80999999999995</v>
      </c>
      <c r="F121" s="18">
        <v>299063.87</v>
      </c>
    </row>
    <row r="122" spans="2:6" ht="18" x14ac:dyDescent="0.2">
      <c r="B122" s="16">
        <v>120</v>
      </c>
      <c r="C122" s="18">
        <v>1577.8</v>
      </c>
      <c r="D122" s="18">
        <v>957.97</v>
      </c>
      <c r="E122" s="18">
        <v>619.83000000000004</v>
      </c>
      <c r="F122" s="18">
        <v>298105.90000000002</v>
      </c>
    </row>
    <row r="123" spans="2:6" ht="18" x14ac:dyDescent="0.2">
      <c r="B123" s="16">
        <v>121</v>
      </c>
      <c r="C123" s="18">
        <v>1577.8</v>
      </c>
      <c r="D123" s="18">
        <v>959.96</v>
      </c>
      <c r="E123" s="18">
        <v>617.84</v>
      </c>
      <c r="F123" s="18">
        <v>297145.94</v>
      </c>
    </row>
    <row r="124" spans="2:6" ht="18" x14ac:dyDescent="0.2">
      <c r="B124" s="16">
        <v>122</v>
      </c>
      <c r="C124" s="18">
        <v>1577.8</v>
      </c>
      <c r="D124" s="18">
        <v>961.95</v>
      </c>
      <c r="E124" s="18">
        <v>615.85</v>
      </c>
      <c r="F124" s="18">
        <v>296183.99</v>
      </c>
    </row>
    <row r="125" spans="2:6" ht="18" x14ac:dyDescent="0.2">
      <c r="B125" s="16">
        <v>123</v>
      </c>
      <c r="C125" s="18">
        <v>1577.8</v>
      </c>
      <c r="D125" s="18">
        <v>963.94</v>
      </c>
      <c r="E125" s="18">
        <v>613.86</v>
      </c>
      <c r="F125" s="18">
        <v>295220.05</v>
      </c>
    </row>
    <row r="126" spans="2:6" ht="18" x14ac:dyDescent="0.2">
      <c r="B126" s="16">
        <v>124</v>
      </c>
      <c r="C126" s="18">
        <v>1577.8</v>
      </c>
      <c r="D126" s="18">
        <v>965.94</v>
      </c>
      <c r="E126" s="18">
        <v>611.86</v>
      </c>
      <c r="F126" s="18">
        <v>294254.11</v>
      </c>
    </row>
    <row r="127" spans="2:6" ht="18" x14ac:dyDescent="0.2">
      <c r="B127" s="16">
        <v>125</v>
      </c>
      <c r="C127" s="18">
        <v>1577.8</v>
      </c>
      <c r="D127" s="18">
        <v>967.94</v>
      </c>
      <c r="E127" s="18">
        <v>609.86</v>
      </c>
      <c r="F127" s="18">
        <v>293286.17</v>
      </c>
    </row>
    <row r="128" spans="2:6" ht="18" x14ac:dyDescent="0.2">
      <c r="B128" s="16">
        <v>126</v>
      </c>
      <c r="C128" s="18">
        <v>1577.8</v>
      </c>
      <c r="D128" s="18">
        <v>969.95</v>
      </c>
      <c r="E128" s="18">
        <v>607.85</v>
      </c>
      <c r="F128" s="18">
        <v>292316.21999999997</v>
      </c>
    </row>
    <row r="129" spans="2:6" ht="18" x14ac:dyDescent="0.2">
      <c r="B129" s="16">
        <v>127</v>
      </c>
      <c r="C129" s="18">
        <v>1577.8</v>
      </c>
      <c r="D129" s="18">
        <v>971.96</v>
      </c>
      <c r="E129" s="18">
        <v>605.84</v>
      </c>
      <c r="F129" s="18">
        <v>291344.26</v>
      </c>
    </row>
    <row r="130" spans="2:6" ht="18" x14ac:dyDescent="0.2">
      <c r="B130" s="16">
        <v>128</v>
      </c>
      <c r="C130" s="18">
        <v>1577.8</v>
      </c>
      <c r="D130" s="18">
        <v>973.97</v>
      </c>
      <c r="E130" s="18">
        <v>603.83000000000004</v>
      </c>
      <c r="F130" s="18">
        <v>290370.28999999998</v>
      </c>
    </row>
    <row r="131" spans="2:6" ht="18" x14ac:dyDescent="0.2">
      <c r="B131" s="16">
        <v>129</v>
      </c>
      <c r="C131" s="18">
        <v>1577.8</v>
      </c>
      <c r="D131" s="18">
        <v>975.99</v>
      </c>
      <c r="E131" s="18">
        <v>601.80999999999995</v>
      </c>
      <c r="F131" s="18">
        <v>289394.3</v>
      </c>
    </row>
    <row r="132" spans="2:6" ht="18" x14ac:dyDescent="0.2">
      <c r="B132" s="16">
        <v>130</v>
      </c>
      <c r="C132" s="18">
        <v>1577.8</v>
      </c>
      <c r="D132" s="18">
        <v>978.01</v>
      </c>
      <c r="E132" s="18">
        <v>599.79</v>
      </c>
      <c r="F132" s="18">
        <v>288416.28999999998</v>
      </c>
    </row>
    <row r="133" spans="2:6" ht="18" x14ac:dyDescent="0.2">
      <c r="B133" s="16">
        <v>131</v>
      </c>
      <c r="C133" s="18">
        <v>1577.8</v>
      </c>
      <c r="D133" s="18">
        <v>980.04</v>
      </c>
      <c r="E133" s="18">
        <v>597.76</v>
      </c>
      <c r="F133" s="18">
        <v>287436.25</v>
      </c>
    </row>
    <row r="134" spans="2:6" ht="18" x14ac:dyDescent="0.2">
      <c r="B134" s="16">
        <v>132</v>
      </c>
      <c r="C134" s="18">
        <v>1577.8</v>
      </c>
      <c r="D134" s="18">
        <v>982.07</v>
      </c>
      <c r="E134" s="18">
        <v>595.73</v>
      </c>
      <c r="F134" s="18">
        <v>286454.18</v>
      </c>
    </row>
    <row r="135" spans="2:6" ht="18" x14ac:dyDescent="0.2">
      <c r="B135" s="16">
        <v>133</v>
      </c>
      <c r="C135" s="18">
        <v>1577.8</v>
      </c>
      <c r="D135" s="18">
        <v>984.11</v>
      </c>
      <c r="E135" s="18">
        <v>593.69000000000005</v>
      </c>
      <c r="F135" s="18">
        <v>285470.07</v>
      </c>
    </row>
    <row r="136" spans="2:6" ht="18" x14ac:dyDescent="0.2">
      <c r="B136" s="16">
        <v>134</v>
      </c>
      <c r="C136" s="18">
        <v>1577.8</v>
      </c>
      <c r="D136" s="18">
        <v>986.14</v>
      </c>
      <c r="E136" s="18">
        <v>591.66</v>
      </c>
      <c r="F136" s="18">
        <v>284483.93</v>
      </c>
    </row>
    <row r="137" spans="2:6" ht="18" x14ac:dyDescent="0.2">
      <c r="B137" s="16">
        <v>135</v>
      </c>
      <c r="C137" s="18">
        <v>1577.8</v>
      </c>
      <c r="D137" s="18">
        <v>988.19</v>
      </c>
      <c r="E137" s="18">
        <v>589.61</v>
      </c>
      <c r="F137" s="18">
        <v>283495.74</v>
      </c>
    </row>
    <row r="138" spans="2:6" ht="18" x14ac:dyDescent="0.2">
      <c r="B138" s="16">
        <v>136</v>
      </c>
      <c r="C138" s="18">
        <v>1577.8</v>
      </c>
      <c r="D138" s="18">
        <v>990.24</v>
      </c>
      <c r="E138" s="18">
        <v>587.55999999999995</v>
      </c>
      <c r="F138" s="18">
        <v>282505.5</v>
      </c>
    </row>
    <row r="139" spans="2:6" ht="18" x14ac:dyDescent="0.2">
      <c r="B139" s="16">
        <v>137</v>
      </c>
      <c r="C139" s="18">
        <v>1577.8</v>
      </c>
      <c r="D139" s="18">
        <v>992.29</v>
      </c>
      <c r="E139" s="18">
        <v>585.51</v>
      </c>
      <c r="F139" s="18">
        <v>281513.21000000002</v>
      </c>
    </row>
    <row r="140" spans="2:6" ht="18" x14ac:dyDescent="0.2">
      <c r="B140" s="16">
        <v>138</v>
      </c>
      <c r="C140" s="18">
        <v>1577.8</v>
      </c>
      <c r="D140" s="18">
        <v>994.35</v>
      </c>
      <c r="E140" s="18">
        <v>583.45000000000005</v>
      </c>
      <c r="F140" s="18">
        <v>280518.86</v>
      </c>
    </row>
    <row r="141" spans="2:6" ht="18" x14ac:dyDescent="0.2">
      <c r="B141" s="16">
        <v>139</v>
      </c>
      <c r="C141" s="18">
        <v>1577.8</v>
      </c>
      <c r="D141" s="18">
        <v>996.41</v>
      </c>
      <c r="E141" s="18">
        <v>581.39</v>
      </c>
      <c r="F141" s="18">
        <v>279522.45</v>
      </c>
    </row>
    <row r="142" spans="2:6" ht="18" x14ac:dyDescent="0.2">
      <c r="B142" s="16">
        <v>140</v>
      </c>
      <c r="C142" s="18">
        <v>1577.8</v>
      </c>
      <c r="D142" s="18">
        <v>998.47</v>
      </c>
      <c r="E142" s="18">
        <v>579.33000000000004</v>
      </c>
      <c r="F142" s="18">
        <v>278523.98</v>
      </c>
    </row>
    <row r="143" spans="2:6" ht="18" x14ac:dyDescent="0.2">
      <c r="B143" s="16">
        <v>141</v>
      </c>
      <c r="C143" s="18">
        <v>1577.8</v>
      </c>
      <c r="D143" s="18">
        <v>1000.54</v>
      </c>
      <c r="E143" s="18">
        <v>577.26</v>
      </c>
      <c r="F143" s="18">
        <v>277523.44</v>
      </c>
    </row>
    <row r="144" spans="2:6" ht="18" x14ac:dyDescent="0.2">
      <c r="B144" s="16">
        <v>142</v>
      </c>
      <c r="C144" s="18">
        <v>1577.8</v>
      </c>
      <c r="D144" s="18">
        <v>1002.61</v>
      </c>
      <c r="E144" s="18">
        <v>575.19000000000005</v>
      </c>
      <c r="F144" s="18">
        <v>276520.83</v>
      </c>
    </row>
    <row r="145" spans="2:6" ht="18" x14ac:dyDescent="0.2">
      <c r="B145" s="16">
        <v>143</v>
      </c>
      <c r="C145" s="18">
        <v>1577.8</v>
      </c>
      <c r="D145" s="18">
        <v>1004.69</v>
      </c>
      <c r="E145" s="18">
        <v>573.11</v>
      </c>
      <c r="F145" s="18">
        <v>275516.14</v>
      </c>
    </row>
    <row r="146" spans="2:6" ht="18" x14ac:dyDescent="0.2">
      <c r="B146" s="16">
        <v>144</v>
      </c>
      <c r="C146" s="18">
        <v>1577.8</v>
      </c>
      <c r="D146" s="18">
        <v>1006.77</v>
      </c>
      <c r="E146" s="18">
        <v>571.03</v>
      </c>
      <c r="F146" s="18">
        <v>274509.37</v>
      </c>
    </row>
    <row r="147" spans="2:6" ht="18" x14ac:dyDescent="0.2">
      <c r="B147" s="16">
        <v>145</v>
      </c>
      <c r="C147" s="18">
        <v>1577.8</v>
      </c>
      <c r="D147" s="18">
        <v>1008.86</v>
      </c>
      <c r="E147" s="18">
        <v>568.94000000000005</v>
      </c>
      <c r="F147" s="18">
        <v>273500.51</v>
      </c>
    </row>
    <row r="148" spans="2:6" ht="18" x14ac:dyDescent="0.2">
      <c r="B148" s="16">
        <v>146</v>
      </c>
      <c r="C148" s="18">
        <v>1577.8</v>
      </c>
      <c r="D148" s="18">
        <v>1010.95</v>
      </c>
      <c r="E148" s="18">
        <v>566.85</v>
      </c>
      <c r="F148" s="18">
        <v>272489.56</v>
      </c>
    </row>
    <row r="149" spans="2:6" ht="18" x14ac:dyDescent="0.2">
      <c r="B149" s="16">
        <v>147</v>
      </c>
      <c r="C149" s="18">
        <v>1577.8</v>
      </c>
      <c r="D149" s="18">
        <v>1013.05</v>
      </c>
      <c r="E149" s="18">
        <v>564.75</v>
      </c>
      <c r="F149" s="18">
        <v>271476.51</v>
      </c>
    </row>
    <row r="150" spans="2:6" ht="18" x14ac:dyDescent="0.2">
      <c r="B150" s="16">
        <v>148</v>
      </c>
      <c r="C150" s="18">
        <v>1577.8</v>
      </c>
      <c r="D150" s="18">
        <v>1015.15</v>
      </c>
      <c r="E150" s="18">
        <v>562.65</v>
      </c>
      <c r="F150" s="18">
        <v>270461.36</v>
      </c>
    </row>
    <row r="151" spans="2:6" ht="18" x14ac:dyDescent="0.2">
      <c r="B151" s="16">
        <v>149</v>
      </c>
      <c r="C151" s="18">
        <v>1577.8</v>
      </c>
      <c r="D151" s="18">
        <v>1017.25</v>
      </c>
      <c r="E151" s="18">
        <v>560.54999999999995</v>
      </c>
      <c r="F151" s="18">
        <v>269444.11</v>
      </c>
    </row>
    <row r="152" spans="2:6" ht="18" x14ac:dyDescent="0.2">
      <c r="B152" s="16">
        <v>150</v>
      </c>
      <c r="C152" s="18">
        <v>1577.8</v>
      </c>
      <c r="D152" s="18">
        <v>1019.36</v>
      </c>
      <c r="E152" s="18">
        <v>558.44000000000005</v>
      </c>
      <c r="F152" s="18">
        <v>268424.75</v>
      </c>
    </row>
    <row r="153" spans="2:6" ht="18" x14ac:dyDescent="0.2">
      <c r="B153" s="16">
        <v>151</v>
      </c>
      <c r="C153" s="18">
        <v>1577.8</v>
      </c>
      <c r="D153" s="18">
        <v>1021.47</v>
      </c>
      <c r="E153" s="18">
        <v>556.33000000000004</v>
      </c>
      <c r="F153" s="18">
        <v>267403.28000000003</v>
      </c>
    </row>
    <row r="154" spans="2:6" ht="18" x14ac:dyDescent="0.2">
      <c r="B154" s="16">
        <v>152</v>
      </c>
      <c r="C154" s="18">
        <v>1577.8</v>
      </c>
      <c r="D154" s="18">
        <v>1023.59</v>
      </c>
      <c r="E154" s="18">
        <v>554.21</v>
      </c>
      <c r="F154" s="18">
        <v>266379.69</v>
      </c>
    </row>
    <row r="155" spans="2:6" ht="18" x14ac:dyDescent="0.2">
      <c r="B155" s="16">
        <v>153</v>
      </c>
      <c r="C155" s="18">
        <v>1577.8</v>
      </c>
      <c r="D155" s="18">
        <v>1025.71</v>
      </c>
      <c r="E155" s="18">
        <v>552.09</v>
      </c>
      <c r="F155" s="18">
        <v>265353.98</v>
      </c>
    </row>
    <row r="156" spans="2:6" ht="18" x14ac:dyDescent="0.2">
      <c r="B156" s="16">
        <v>154</v>
      </c>
      <c r="C156" s="18">
        <v>1577.8</v>
      </c>
      <c r="D156" s="18">
        <v>1027.8399999999999</v>
      </c>
      <c r="E156" s="18">
        <v>549.96</v>
      </c>
      <c r="F156" s="18">
        <v>264326.14</v>
      </c>
    </row>
    <row r="157" spans="2:6" ht="18" x14ac:dyDescent="0.2">
      <c r="B157" s="16">
        <v>155</v>
      </c>
      <c r="C157" s="18">
        <v>1577.8</v>
      </c>
      <c r="D157" s="18">
        <v>1029.97</v>
      </c>
      <c r="E157" s="18">
        <v>547.83000000000004</v>
      </c>
      <c r="F157" s="18">
        <v>263296.17</v>
      </c>
    </row>
    <row r="158" spans="2:6" ht="18" x14ac:dyDescent="0.2">
      <c r="B158" s="16">
        <v>156</v>
      </c>
      <c r="C158" s="18">
        <v>1577.8</v>
      </c>
      <c r="D158" s="18">
        <v>1032.0999999999999</v>
      </c>
      <c r="E158" s="18">
        <v>545.70000000000005</v>
      </c>
      <c r="F158" s="18">
        <v>262264.07</v>
      </c>
    </row>
    <row r="159" spans="2:6" ht="18" x14ac:dyDescent="0.2">
      <c r="B159" s="16">
        <v>157</v>
      </c>
      <c r="C159" s="18">
        <v>1577.8</v>
      </c>
      <c r="D159" s="18">
        <v>1034.24</v>
      </c>
      <c r="E159" s="18">
        <v>543.55999999999995</v>
      </c>
      <c r="F159" s="18">
        <v>261229.83</v>
      </c>
    </row>
    <row r="160" spans="2:6" ht="18" x14ac:dyDescent="0.2">
      <c r="B160" s="16">
        <v>158</v>
      </c>
      <c r="C160" s="18">
        <v>1577.8</v>
      </c>
      <c r="D160" s="18">
        <v>1036.3800000000001</v>
      </c>
      <c r="E160" s="18">
        <v>541.41999999999996</v>
      </c>
      <c r="F160" s="18">
        <v>260193.45</v>
      </c>
    </row>
    <row r="161" spans="2:6" ht="18" x14ac:dyDescent="0.2">
      <c r="B161" s="16">
        <v>159</v>
      </c>
      <c r="C161" s="18">
        <v>1577.8</v>
      </c>
      <c r="D161" s="18">
        <v>1038.53</v>
      </c>
      <c r="E161" s="18">
        <v>539.27</v>
      </c>
      <c r="F161" s="18">
        <v>259154.92</v>
      </c>
    </row>
    <row r="162" spans="2:6" ht="18" x14ac:dyDescent="0.2">
      <c r="B162" s="16">
        <v>160</v>
      </c>
      <c r="C162" s="18">
        <v>1577.8</v>
      </c>
      <c r="D162" s="18">
        <v>1040.68</v>
      </c>
      <c r="E162" s="18">
        <v>537.12</v>
      </c>
      <c r="F162" s="18">
        <v>258114.24</v>
      </c>
    </row>
    <row r="163" spans="2:6" ht="18" x14ac:dyDescent="0.2">
      <c r="B163" s="16">
        <v>161</v>
      </c>
      <c r="C163" s="18">
        <v>1577.8</v>
      </c>
      <c r="D163" s="18">
        <v>1042.8399999999999</v>
      </c>
      <c r="E163" s="18">
        <v>534.96</v>
      </c>
      <c r="F163" s="18">
        <v>257071.4</v>
      </c>
    </row>
    <row r="164" spans="2:6" ht="18" x14ac:dyDescent="0.2">
      <c r="B164" s="16">
        <v>162</v>
      </c>
      <c r="C164" s="18">
        <v>1577.8</v>
      </c>
      <c r="D164" s="18">
        <v>1045</v>
      </c>
      <c r="E164" s="18">
        <v>532.79999999999995</v>
      </c>
      <c r="F164" s="18">
        <v>256026.4</v>
      </c>
    </row>
    <row r="165" spans="2:6" ht="18" x14ac:dyDescent="0.2">
      <c r="B165" s="16">
        <v>163</v>
      </c>
      <c r="C165" s="18">
        <v>1577.8</v>
      </c>
      <c r="D165" s="18">
        <v>1047.17</v>
      </c>
      <c r="E165" s="18">
        <v>530.63</v>
      </c>
      <c r="F165" s="18">
        <v>254979.23</v>
      </c>
    </row>
    <row r="166" spans="2:6" ht="18" x14ac:dyDescent="0.2">
      <c r="B166" s="16">
        <v>164</v>
      </c>
      <c r="C166" s="18">
        <v>1577.8</v>
      </c>
      <c r="D166" s="18">
        <v>1049.3399999999999</v>
      </c>
      <c r="E166" s="18">
        <v>528.46</v>
      </c>
      <c r="F166" s="18">
        <v>253929.89</v>
      </c>
    </row>
    <row r="167" spans="2:6" ht="18" x14ac:dyDescent="0.2">
      <c r="B167" s="16">
        <v>165</v>
      </c>
      <c r="C167" s="18">
        <v>1577.8</v>
      </c>
      <c r="D167" s="18">
        <v>1051.51</v>
      </c>
      <c r="E167" s="18">
        <v>526.29</v>
      </c>
      <c r="F167" s="18">
        <v>252878.38</v>
      </c>
    </row>
    <row r="168" spans="2:6" ht="18" x14ac:dyDescent="0.2">
      <c r="B168" s="16">
        <v>166</v>
      </c>
      <c r="C168" s="18">
        <v>1577.8</v>
      </c>
      <c r="D168" s="18">
        <v>1053.69</v>
      </c>
      <c r="E168" s="18">
        <v>524.11</v>
      </c>
      <c r="F168" s="18">
        <v>251824.69</v>
      </c>
    </row>
    <row r="169" spans="2:6" ht="18" x14ac:dyDescent="0.2">
      <c r="B169" s="16">
        <v>167</v>
      </c>
      <c r="C169" s="18">
        <v>1577.8</v>
      </c>
      <c r="D169" s="18">
        <v>1055.8800000000001</v>
      </c>
      <c r="E169" s="18">
        <v>521.91999999999996</v>
      </c>
      <c r="F169" s="18">
        <v>250768.81</v>
      </c>
    </row>
    <row r="170" spans="2:6" ht="18" x14ac:dyDescent="0.2">
      <c r="B170" s="16">
        <v>168</v>
      </c>
      <c r="C170" s="18">
        <v>1577.8</v>
      </c>
      <c r="D170" s="18">
        <v>1058.07</v>
      </c>
      <c r="E170" s="18">
        <v>519.73</v>
      </c>
      <c r="F170" s="18">
        <v>249710.74</v>
      </c>
    </row>
    <row r="171" spans="2:6" ht="18" x14ac:dyDescent="0.2">
      <c r="B171" s="16">
        <v>169</v>
      </c>
      <c r="C171" s="18">
        <v>1577.8</v>
      </c>
      <c r="D171" s="18">
        <v>1060.26</v>
      </c>
      <c r="E171" s="18">
        <v>517.54</v>
      </c>
      <c r="F171" s="18">
        <v>248650.48</v>
      </c>
    </row>
    <row r="172" spans="2:6" ht="18" x14ac:dyDescent="0.2">
      <c r="B172" s="16">
        <v>170</v>
      </c>
      <c r="C172" s="18">
        <v>1577.8</v>
      </c>
      <c r="D172" s="18">
        <v>1062.46</v>
      </c>
      <c r="E172" s="18">
        <v>515.34</v>
      </c>
      <c r="F172" s="18">
        <v>247588.02</v>
      </c>
    </row>
    <row r="173" spans="2:6" ht="18" x14ac:dyDescent="0.2">
      <c r="B173" s="16">
        <v>171</v>
      </c>
      <c r="C173" s="18">
        <v>1577.8</v>
      </c>
      <c r="D173" s="18">
        <v>1064.6600000000001</v>
      </c>
      <c r="E173" s="18">
        <v>513.14</v>
      </c>
      <c r="F173" s="18">
        <v>246523.36</v>
      </c>
    </row>
    <row r="174" spans="2:6" ht="18" x14ac:dyDescent="0.2">
      <c r="B174" s="16">
        <v>172</v>
      </c>
      <c r="C174" s="18">
        <v>1577.8</v>
      </c>
      <c r="D174" s="18">
        <v>1066.8599999999999</v>
      </c>
      <c r="E174" s="18">
        <v>510.94</v>
      </c>
      <c r="F174" s="18">
        <v>245456.5</v>
      </c>
    </row>
    <row r="175" spans="2:6" ht="18" x14ac:dyDescent="0.2">
      <c r="B175" s="16">
        <v>173</v>
      </c>
      <c r="C175" s="18">
        <v>1577.8</v>
      </c>
      <c r="D175" s="18">
        <v>1069.08</v>
      </c>
      <c r="E175" s="18">
        <v>508.72</v>
      </c>
      <c r="F175" s="18">
        <v>244387.42</v>
      </c>
    </row>
    <row r="176" spans="2:6" ht="18" x14ac:dyDescent="0.2">
      <c r="B176" s="16">
        <v>174</v>
      </c>
      <c r="C176" s="18">
        <v>1577.8</v>
      </c>
      <c r="D176" s="18">
        <v>1071.29</v>
      </c>
      <c r="E176" s="18">
        <v>506.51</v>
      </c>
      <c r="F176" s="18">
        <v>243316.13</v>
      </c>
    </row>
    <row r="177" spans="2:6" ht="18" x14ac:dyDescent="0.2">
      <c r="B177" s="16">
        <v>175</v>
      </c>
      <c r="C177" s="18">
        <v>1577.8</v>
      </c>
      <c r="D177" s="18">
        <v>1073.51</v>
      </c>
      <c r="E177" s="18">
        <v>504.29</v>
      </c>
      <c r="F177" s="18">
        <v>242242.62</v>
      </c>
    </row>
    <row r="178" spans="2:6" ht="18" x14ac:dyDescent="0.2">
      <c r="B178" s="16">
        <v>176</v>
      </c>
      <c r="C178" s="18">
        <v>1577.8</v>
      </c>
      <c r="D178" s="18">
        <v>1075.74</v>
      </c>
      <c r="E178" s="18">
        <v>502.06</v>
      </c>
      <c r="F178" s="18">
        <v>241166.88</v>
      </c>
    </row>
    <row r="179" spans="2:6" ht="18" x14ac:dyDescent="0.2">
      <c r="B179" s="16">
        <v>177</v>
      </c>
      <c r="C179" s="18">
        <v>1577.8</v>
      </c>
      <c r="D179" s="18">
        <v>1077.97</v>
      </c>
      <c r="E179" s="18">
        <v>499.83</v>
      </c>
      <c r="F179" s="18">
        <v>240088.91</v>
      </c>
    </row>
    <row r="180" spans="2:6" ht="18" x14ac:dyDescent="0.2">
      <c r="B180" s="16">
        <v>178</v>
      </c>
      <c r="C180" s="18">
        <v>1577.8</v>
      </c>
      <c r="D180" s="18">
        <v>1080.2</v>
      </c>
      <c r="E180" s="18">
        <v>497.6</v>
      </c>
      <c r="F180" s="18">
        <v>239008.71</v>
      </c>
    </row>
    <row r="181" spans="2:6" ht="18" x14ac:dyDescent="0.2">
      <c r="B181" s="16">
        <v>179</v>
      </c>
      <c r="C181" s="18">
        <v>1577.8</v>
      </c>
      <c r="D181" s="18">
        <v>1082.44</v>
      </c>
      <c r="E181" s="18">
        <v>495.36</v>
      </c>
      <c r="F181" s="18">
        <v>237926.27</v>
      </c>
    </row>
    <row r="182" spans="2:6" ht="18" x14ac:dyDescent="0.2">
      <c r="B182" s="16">
        <v>180</v>
      </c>
      <c r="C182" s="18">
        <v>1577.8</v>
      </c>
      <c r="D182" s="18">
        <v>1084.68</v>
      </c>
      <c r="E182" s="18">
        <v>493.12</v>
      </c>
      <c r="F182" s="18">
        <v>236841.59</v>
      </c>
    </row>
    <row r="183" spans="2:6" ht="18" x14ac:dyDescent="0.2">
      <c r="B183" s="16">
        <v>181</v>
      </c>
      <c r="C183" s="18">
        <v>1577.8</v>
      </c>
      <c r="D183" s="18">
        <v>1086.93</v>
      </c>
      <c r="E183" s="18">
        <v>490.87</v>
      </c>
      <c r="F183" s="18">
        <v>235754.66</v>
      </c>
    </row>
    <row r="184" spans="2:6" ht="18" x14ac:dyDescent="0.2">
      <c r="B184" s="16">
        <v>182</v>
      </c>
      <c r="C184" s="18">
        <v>1577.8</v>
      </c>
      <c r="D184" s="18">
        <v>1089.18</v>
      </c>
      <c r="E184" s="18">
        <v>488.62</v>
      </c>
      <c r="F184" s="18">
        <v>234665.48</v>
      </c>
    </row>
    <row r="185" spans="2:6" ht="18" x14ac:dyDescent="0.2">
      <c r="B185" s="16">
        <v>183</v>
      </c>
      <c r="C185" s="18">
        <v>1577.8</v>
      </c>
      <c r="D185" s="18">
        <v>1091.44</v>
      </c>
      <c r="E185" s="18">
        <v>486.36</v>
      </c>
      <c r="F185" s="18">
        <v>233574.04</v>
      </c>
    </row>
    <row r="186" spans="2:6" ht="18" x14ac:dyDescent="0.2">
      <c r="B186" s="16">
        <v>184</v>
      </c>
      <c r="C186" s="18">
        <v>1577.8</v>
      </c>
      <c r="D186" s="18">
        <v>1093.7</v>
      </c>
      <c r="E186" s="18">
        <v>484.1</v>
      </c>
      <c r="F186" s="18">
        <v>232480.34</v>
      </c>
    </row>
    <row r="187" spans="2:6" ht="18" x14ac:dyDescent="0.2">
      <c r="B187" s="16">
        <v>185</v>
      </c>
      <c r="C187" s="18">
        <v>1577.8</v>
      </c>
      <c r="D187" s="18">
        <v>1095.97</v>
      </c>
      <c r="E187" s="18">
        <v>481.83</v>
      </c>
      <c r="F187" s="18">
        <v>231384.37</v>
      </c>
    </row>
    <row r="188" spans="2:6" ht="18" x14ac:dyDescent="0.2">
      <c r="B188" s="16">
        <v>186</v>
      </c>
      <c r="C188" s="18">
        <v>1577.8</v>
      </c>
      <c r="D188" s="18">
        <v>1098.24</v>
      </c>
      <c r="E188" s="18">
        <v>479.56</v>
      </c>
      <c r="F188" s="18">
        <v>230286.13</v>
      </c>
    </row>
    <row r="189" spans="2:6" ht="18" x14ac:dyDescent="0.2">
      <c r="B189" s="16">
        <v>187</v>
      </c>
      <c r="C189" s="18">
        <v>1577.8</v>
      </c>
      <c r="D189" s="18">
        <v>1100.52</v>
      </c>
      <c r="E189" s="18">
        <v>477.28</v>
      </c>
      <c r="F189" s="18">
        <v>229185.61</v>
      </c>
    </row>
    <row r="190" spans="2:6" ht="18" x14ac:dyDescent="0.2">
      <c r="B190" s="16">
        <v>188</v>
      </c>
      <c r="C190" s="18">
        <v>1577.8</v>
      </c>
      <c r="D190" s="18">
        <v>1102.8</v>
      </c>
      <c r="E190" s="18">
        <v>475</v>
      </c>
      <c r="F190" s="18">
        <v>228082.81</v>
      </c>
    </row>
    <row r="191" spans="2:6" ht="18" x14ac:dyDescent="0.2">
      <c r="B191" s="16">
        <v>189</v>
      </c>
      <c r="C191" s="18">
        <v>1577.8</v>
      </c>
      <c r="D191" s="18">
        <v>1105.08</v>
      </c>
      <c r="E191" s="18">
        <v>472.72</v>
      </c>
      <c r="F191" s="18">
        <v>226977.73</v>
      </c>
    </row>
    <row r="192" spans="2:6" ht="18" x14ac:dyDescent="0.2">
      <c r="B192" s="16">
        <v>190</v>
      </c>
      <c r="C192" s="18">
        <v>1577.8</v>
      </c>
      <c r="D192" s="18">
        <v>1107.3699999999999</v>
      </c>
      <c r="E192" s="18">
        <v>470.43</v>
      </c>
      <c r="F192" s="18">
        <v>225870.36</v>
      </c>
    </row>
    <row r="193" spans="2:6" ht="18" x14ac:dyDescent="0.2">
      <c r="B193" s="16">
        <v>191</v>
      </c>
      <c r="C193" s="18">
        <v>1577.8</v>
      </c>
      <c r="D193" s="18">
        <v>1109.67</v>
      </c>
      <c r="E193" s="18">
        <v>468.13</v>
      </c>
      <c r="F193" s="18">
        <v>224760.69</v>
      </c>
    </row>
    <row r="194" spans="2:6" ht="18" x14ac:dyDescent="0.2">
      <c r="B194" s="16">
        <v>192</v>
      </c>
      <c r="C194" s="18">
        <v>1577.8</v>
      </c>
      <c r="D194" s="18">
        <v>1111.97</v>
      </c>
      <c r="E194" s="18">
        <v>465.83</v>
      </c>
      <c r="F194" s="18">
        <v>223648.72</v>
      </c>
    </row>
    <row r="195" spans="2:6" ht="18" x14ac:dyDescent="0.2">
      <c r="B195" s="16">
        <v>193</v>
      </c>
      <c r="C195" s="18">
        <v>1577.8</v>
      </c>
      <c r="D195" s="18">
        <v>1114.27</v>
      </c>
      <c r="E195" s="18">
        <v>463.53</v>
      </c>
      <c r="F195" s="18">
        <v>222534.45</v>
      </c>
    </row>
    <row r="196" spans="2:6" ht="18" x14ac:dyDescent="0.2">
      <c r="B196" s="16">
        <v>194</v>
      </c>
      <c r="C196" s="18">
        <v>1577.8</v>
      </c>
      <c r="D196" s="18">
        <v>1116.58</v>
      </c>
      <c r="E196" s="18">
        <v>461.22</v>
      </c>
      <c r="F196" s="18">
        <v>221417.87</v>
      </c>
    </row>
    <row r="197" spans="2:6" ht="18" x14ac:dyDescent="0.2">
      <c r="B197" s="16">
        <v>195</v>
      </c>
      <c r="C197" s="18">
        <v>1577.8</v>
      </c>
      <c r="D197" s="18">
        <v>1118.9000000000001</v>
      </c>
      <c r="E197" s="18">
        <v>458.9</v>
      </c>
      <c r="F197" s="18">
        <v>220298.97</v>
      </c>
    </row>
    <row r="198" spans="2:6" ht="18" x14ac:dyDescent="0.2">
      <c r="B198" s="16">
        <v>196</v>
      </c>
      <c r="C198" s="18">
        <v>1577.8</v>
      </c>
      <c r="D198" s="18">
        <v>1121.22</v>
      </c>
      <c r="E198" s="18">
        <v>456.58</v>
      </c>
      <c r="F198" s="18">
        <v>219177.75</v>
      </c>
    </row>
    <row r="199" spans="2:6" ht="18" x14ac:dyDescent="0.2">
      <c r="B199" s="16">
        <v>197</v>
      </c>
      <c r="C199" s="18">
        <v>1577.8</v>
      </c>
      <c r="D199" s="18">
        <v>1123.54</v>
      </c>
      <c r="E199" s="18">
        <v>454.26</v>
      </c>
      <c r="F199" s="18">
        <v>218054.21</v>
      </c>
    </row>
    <row r="200" spans="2:6" ht="18" x14ac:dyDescent="0.2">
      <c r="B200" s="16">
        <v>198</v>
      </c>
      <c r="C200" s="18">
        <v>1577.8</v>
      </c>
      <c r="D200" s="18">
        <v>1125.8699999999999</v>
      </c>
      <c r="E200" s="18">
        <v>451.93</v>
      </c>
      <c r="F200" s="18">
        <v>216928.34</v>
      </c>
    </row>
    <row r="201" spans="2:6" ht="18" x14ac:dyDescent="0.2">
      <c r="B201" s="16">
        <v>199</v>
      </c>
      <c r="C201" s="18">
        <v>1577.8</v>
      </c>
      <c r="D201" s="18">
        <v>1128.2</v>
      </c>
      <c r="E201" s="18">
        <v>449.6</v>
      </c>
      <c r="F201" s="18">
        <v>215800.14</v>
      </c>
    </row>
    <row r="202" spans="2:6" ht="18" x14ac:dyDescent="0.2">
      <c r="B202" s="16">
        <v>200</v>
      </c>
      <c r="C202" s="18">
        <v>1577.8</v>
      </c>
      <c r="D202" s="18">
        <v>1130.54</v>
      </c>
      <c r="E202" s="18">
        <v>447.26</v>
      </c>
      <c r="F202" s="18">
        <v>214669.6</v>
      </c>
    </row>
    <row r="203" spans="2:6" ht="18" x14ac:dyDescent="0.2">
      <c r="B203" s="16">
        <v>201</v>
      </c>
      <c r="C203" s="18">
        <v>1577.8</v>
      </c>
      <c r="D203" s="18">
        <v>1132.8800000000001</v>
      </c>
      <c r="E203" s="18">
        <v>444.92</v>
      </c>
      <c r="F203" s="18">
        <v>213536.72</v>
      </c>
    </row>
    <row r="204" spans="2:6" ht="18" x14ac:dyDescent="0.2">
      <c r="B204" s="16">
        <v>202</v>
      </c>
      <c r="C204" s="18">
        <v>1577.8</v>
      </c>
      <c r="D204" s="18">
        <v>1135.23</v>
      </c>
      <c r="E204" s="18">
        <v>442.57</v>
      </c>
      <c r="F204" s="18">
        <v>212401.49</v>
      </c>
    </row>
    <row r="205" spans="2:6" ht="18" x14ac:dyDescent="0.2">
      <c r="B205" s="16">
        <v>203</v>
      </c>
      <c r="C205" s="18">
        <v>1577.8</v>
      </c>
      <c r="D205" s="18">
        <v>1137.58</v>
      </c>
      <c r="E205" s="18">
        <v>440.22</v>
      </c>
      <c r="F205" s="18">
        <v>211263.91</v>
      </c>
    </row>
    <row r="206" spans="2:6" ht="18" x14ac:dyDescent="0.2">
      <c r="B206" s="16">
        <v>204</v>
      </c>
      <c r="C206" s="18">
        <v>1577.8</v>
      </c>
      <c r="D206" s="18">
        <v>1139.94</v>
      </c>
      <c r="E206" s="18">
        <v>437.86</v>
      </c>
      <c r="F206" s="18">
        <v>210123.97</v>
      </c>
    </row>
    <row r="207" spans="2:6" ht="18" x14ac:dyDescent="0.2">
      <c r="B207" s="16">
        <v>205</v>
      </c>
      <c r="C207" s="18">
        <v>1577.8</v>
      </c>
      <c r="D207" s="18">
        <v>1142.3</v>
      </c>
      <c r="E207" s="18">
        <v>435.5</v>
      </c>
      <c r="F207" s="18">
        <v>208981.67</v>
      </c>
    </row>
    <row r="208" spans="2:6" ht="18" x14ac:dyDescent="0.2">
      <c r="B208" s="16">
        <v>206</v>
      </c>
      <c r="C208" s="18">
        <v>1577.8</v>
      </c>
      <c r="D208" s="18">
        <v>1144.67</v>
      </c>
      <c r="E208" s="18">
        <v>433.13</v>
      </c>
      <c r="F208" s="18">
        <v>207837</v>
      </c>
    </row>
    <row r="209" spans="2:6" ht="18" x14ac:dyDescent="0.2">
      <c r="B209" s="16">
        <v>207</v>
      </c>
      <c r="C209" s="18">
        <v>1577.8</v>
      </c>
      <c r="D209" s="18">
        <v>1147.04</v>
      </c>
      <c r="E209" s="18">
        <v>430.76</v>
      </c>
      <c r="F209" s="18">
        <v>206689.96</v>
      </c>
    </row>
    <row r="210" spans="2:6" ht="18" x14ac:dyDescent="0.2">
      <c r="B210" s="16">
        <v>208</v>
      </c>
      <c r="C210" s="18">
        <v>1577.8</v>
      </c>
      <c r="D210" s="18">
        <v>1149.42</v>
      </c>
      <c r="E210" s="18">
        <v>428.38</v>
      </c>
      <c r="F210" s="18">
        <v>205540.54</v>
      </c>
    </row>
    <row r="211" spans="2:6" ht="18" x14ac:dyDescent="0.2">
      <c r="B211" s="16">
        <v>209</v>
      </c>
      <c r="C211" s="18">
        <v>1577.8</v>
      </c>
      <c r="D211" s="18">
        <v>1151.8</v>
      </c>
      <c r="E211" s="18">
        <v>426</v>
      </c>
      <c r="F211" s="18">
        <v>204388.74</v>
      </c>
    </row>
    <row r="212" spans="2:6" ht="18" x14ac:dyDescent="0.2">
      <c r="B212" s="16">
        <v>210</v>
      </c>
      <c r="C212" s="18">
        <v>1577.8</v>
      </c>
      <c r="D212" s="18">
        <v>1154.19</v>
      </c>
      <c r="E212" s="18">
        <v>423.61</v>
      </c>
      <c r="F212" s="18">
        <v>203234.55</v>
      </c>
    </row>
    <row r="213" spans="2:6" ht="18" x14ac:dyDescent="0.2">
      <c r="B213" s="16">
        <v>211</v>
      </c>
      <c r="C213" s="18">
        <v>1577.8</v>
      </c>
      <c r="D213" s="18">
        <v>1156.58</v>
      </c>
      <c r="E213" s="18">
        <v>421.22</v>
      </c>
      <c r="F213" s="18">
        <v>202077.97</v>
      </c>
    </row>
    <row r="214" spans="2:6" ht="18" x14ac:dyDescent="0.2">
      <c r="B214" s="16">
        <v>212</v>
      </c>
      <c r="C214" s="18">
        <v>1577.8</v>
      </c>
      <c r="D214" s="18">
        <v>1158.98</v>
      </c>
      <c r="E214" s="18">
        <v>418.82</v>
      </c>
      <c r="F214" s="18">
        <v>200918.99</v>
      </c>
    </row>
    <row r="215" spans="2:6" ht="18" x14ac:dyDescent="0.2">
      <c r="B215" s="16">
        <v>213</v>
      </c>
      <c r="C215" s="18">
        <v>1577.8</v>
      </c>
      <c r="D215" s="18">
        <v>1161.3800000000001</v>
      </c>
      <c r="E215" s="18">
        <v>416.42</v>
      </c>
      <c r="F215" s="18">
        <v>199757.61</v>
      </c>
    </row>
    <row r="216" spans="2:6" ht="18" x14ac:dyDescent="0.2">
      <c r="B216" s="16">
        <v>214</v>
      </c>
      <c r="C216" s="18">
        <v>1577.8</v>
      </c>
      <c r="D216" s="18">
        <v>1163.79</v>
      </c>
      <c r="E216" s="18">
        <v>414.01</v>
      </c>
      <c r="F216" s="18">
        <v>198593.82</v>
      </c>
    </row>
    <row r="217" spans="2:6" ht="18" x14ac:dyDescent="0.2">
      <c r="B217" s="16">
        <v>215</v>
      </c>
      <c r="C217" s="18">
        <v>1577.8</v>
      </c>
      <c r="D217" s="18">
        <v>1166.2</v>
      </c>
      <c r="E217" s="18">
        <v>411.6</v>
      </c>
      <c r="F217" s="18">
        <v>197427.62</v>
      </c>
    </row>
    <row r="218" spans="2:6" ht="18" x14ac:dyDescent="0.2">
      <c r="B218" s="16">
        <v>216</v>
      </c>
      <c r="C218" s="18">
        <v>1577.8</v>
      </c>
      <c r="D218" s="18">
        <v>1168.6199999999999</v>
      </c>
      <c r="E218" s="18">
        <v>409.18</v>
      </c>
      <c r="F218" s="18">
        <v>196259</v>
      </c>
    </row>
    <row r="219" spans="2:6" ht="18" x14ac:dyDescent="0.2">
      <c r="B219" s="16">
        <v>217</v>
      </c>
      <c r="C219" s="18">
        <v>1577.8</v>
      </c>
      <c r="D219" s="18">
        <v>1171.04</v>
      </c>
      <c r="E219" s="18">
        <v>406.76</v>
      </c>
      <c r="F219" s="18">
        <v>195087.96</v>
      </c>
    </row>
    <row r="220" spans="2:6" ht="18" x14ac:dyDescent="0.2">
      <c r="B220" s="16">
        <v>218</v>
      </c>
      <c r="C220" s="18">
        <v>1577.8</v>
      </c>
      <c r="D220" s="18">
        <v>1173.47</v>
      </c>
      <c r="E220" s="18">
        <v>404.33</v>
      </c>
      <c r="F220" s="18">
        <v>193914.49</v>
      </c>
    </row>
    <row r="221" spans="2:6" ht="18" x14ac:dyDescent="0.2">
      <c r="B221" s="16">
        <v>219</v>
      </c>
      <c r="C221" s="18">
        <v>1577.8</v>
      </c>
      <c r="D221" s="18">
        <v>1175.9000000000001</v>
      </c>
      <c r="E221" s="18">
        <v>401.9</v>
      </c>
      <c r="F221" s="18">
        <v>192738.59</v>
      </c>
    </row>
    <row r="222" spans="2:6" ht="18" x14ac:dyDescent="0.2">
      <c r="B222" s="16">
        <v>220</v>
      </c>
      <c r="C222" s="18">
        <v>1577.8</v>
      </c>
      <c r="D222" s="18">
        <v>1178.3399999999999</v>
      </c>
      <c r="E222" s="18">
        <v>399.46</v>
      </c>
      <c r="F222" s="18">
        <v>191560.25</v>
      </c>
    </row>
    <row r="223" spans="2:6" ht="18" x14ac:dyDescent="0.2">
      <c r="B223" s="16">
        <v>221</v>
      </c>
      <c r="C223" s="18">
        <v>1577.8</v>
      </c>
      <c r="D223" s="18">
        <v>1180.78</v>
      </c>
      <c r="E223" s="18">
        <v>397.02</v>
      </c>
      <c r="F223" s="18">
        <v>190379.47</v>
      </c>
    </row>
    <row r="224" spans="2:6" ht="18" x14ac:dyDescent="0.2">
      <c r="B224" s="16">
        <v>222</v>
      </c>
      <c r="C224" s="18">
        <v>1577.8</v>
      </c>
      <c r="D224" s="18">
        <v>1183.23</v>
      </c>
      <c r="E224" s="18">
        <v>394.57</v>
      </c>
      <c r="F224" s="18">
        <v>189196.24</v>
      </c>
    </row>
    <row r="225" spans="2:6" ht="18" x14ac:dyDescent="0.2">
      <c r="B225" s="16">
        <v>223</v>
      </c>
      <c r="C225" s="18">
        <v>1577.8</v>
      </c>
      <c r="D225" s="18">
        <v>1185.68</v>
      </c>
      <c r="E225" s="18">
        <v>392.12</v>
      </c>
      <c r="F225" s="18">
        <v>188010.56</v>
      </c>
    </row>
    <row r="226" spans="2:6" ht="18" x14ac:dyDescent="0.2">
      <c r="B226" s="16">
        <v>224</v>
      </c>
      <c r="C226" s="18">
        <v>1577.8</v>
      </c>
      <c r="D226" s="18">
        <v>1188.1400000000001</v>
      </c>
      <c r="E226" s="18">
        <v>389.66</v>
      </c>
      <c r="F226" s="18">
        <v>186822.42</v>
      </c>
    </row>
    <row r="227" spans="2:6" ht="18" x14ac:dyDescent="0.2">
      <c r="B227" s="16">
        <v>225</v>
      </c>
      <c r="C227" s="18">
        <v>1577.8</v>
      </c>
      <c r="D227" s="18">
        <v>1190.5999999999999</v>
      </c>
      <c r="E227" s="18">
        <v>387.2</v>
      </c>
      <c r="F227" s="18">
        <v>185631.82</v>
      </c>
    </row>
    <row r="228" spans="2:6" ht="18" x14ac:dyDescent="0.2">
      <c r="B228" s="16">
        <v>226</v>
      </c>
      <c r="C228" s="18">
        <v>1577.8</v>
      </c>
      <c r="D228" s="18">
        <v>1193.07</v>
      </c>
      <c r="E228" s="18">
        <v>384.73</v>
      </c>
      <c r="F228" s="18">
        <v>184438.75</v>
      </c>
    </row>
    <row r="229" spans="2:6" ht="18" x14ac:dyDescent="0.2">
      <c r="B229" s="16">
        <v>227</v>
      </c>
      <c r="C229" s="18">
        <v>1577.8</v>
      </c>
      <c r="D229" s="18">
        <v>1195.54</v>
      </c>
      <c r="E229" s="18">
        <v>382.26</v>
      </c>
      <c r="F229" s="18">
        <v>183243.21</v>
      </c>
    </row>
    <row r="230" spans="2:6" ht="18" x14ac:dyDescent="0.2">
      <c r="B230" s="16">
        <v>228</v>
      </c>
      <c r="C230" s="18">
        <v>1577.8</v>
      </c>
      <c r="D230" s="18">
        <v>1198.02</v>
      </c>
      <c r="E230" s="18">
        <v>379.78</v>
      </c>
      <c r="F230" s="18">
        <v>182045.19</v>
      </c>
    </row>
    <row r="231" spans="2:6" ht="18" x14ac:dyDescent="0.2">
      <c r="B231" s="16">
        <v>229</v>
      </c>
      <c r="C231" s="18">
        <v>1577.8</v>
      </c>
      <c r="D231" s="18">
        <v>1200.5</v>
      </c>
      <c r="E231" s="18">
        <v>377.3</v>
      </c>
      <c r="F231" s="18">
        <v>180844.69</v>
      </c>
    </row>
    <row r="232" spans="2:6" ht="18" x14ac:dyDescent="0.2">
      <c r="B232" s="16">
        <v>230</v>
      </c>
      <c r="C232" s="18">
        <v>1577.8</v>
      </c>
      <c r="D232" s="18">
        <v>1202.99</v>
      </c>
      <c r="E232" s="18">
        <v>374.81</v>
      </c>
      <c r="F232" s="18">
        <v>179641.7</v>
      </c>
    </row>
    <row r="233" spans="2:6" ht="18" x14ac:dyDescent="0.2">
      <c r="B233" s="16">
        <v>231</v>
      </c>
      <c r="C233" s="18">
        <v>1577.8</v>
      </c>
      <c r="D233" s="18">
        <v>1205.48</v>
      </c>
      <c r="E233" s="18">
        <v>372.32</v>
      </c>
      <c r="F233" s="18">
        <v>178436.22</v>
      </c>
    </row>
    <row r="234" spans="2:6" ht="18" x14ac:dyDescent="0.2">
      <c r="B234" s="16">
        <v>232</v>
      </c>
      <c r="C234" s="18">
        <v>1577.8</v>
      </c>
      <c r="D234" s="18">
        <v>1207.98</v>
      </c>
      <c r="E234" s="18">
        <v>369.82</v>
      </c>
      <c r="F234" s="18">
        <v>177228.24</v>
      </c>
    </row>
    <row r="235" spans="2:6" ht="18" x14ac:dyDescent="0.2">
      <c r="B235" s="16">
        <v>233</v>
      </c>
      <c r="C235" s="18">
        <v>1577.8</v>
      </c>
      <c r="D235" s="18">
        <v>1210.48</v>
      </c>
      <c r="E235" s="18">
        <v>367.32</v>
      </c>
      <c r="F235" s="18">
        <v>176017.76</v>
      </c>
    </row>
    <row r="236" spans="2:6" ht="18" x14ac:dyDescent="0.2">
      <c r="B236" s="16">
        <v>234</v>
      </c>
      <c r="C236" s="18">
        <v>1577.8</v>
      </c>
      <c r="D236" s="18">
        <v>1212.99</v>
      </c>
      <c r="E236" s="18">
        <v>364.81</v>
      </c>
      <c r="F236" s="18">
        <v>174804.77</v>
      </c>
    </row>
    <row r="237" spans="2:6" ht="18" x14ac:dyDescent="0.2">
      <c r="B237" s="16">
        <v>235</v>
      </c>
      <c r="C237" s="18">
        <v>1577.8</v>
      </c>
      <c r="D237" s="18">
        <v>1215.51</v>
      </c>
      <c r="E237" s="18">
        <v>362.29</v>
      </c>
      <c r="F237" s="18">
        <v>173589.26</v>
      </c>
    </row>
    <row r="238" spans="2:6" ht="18" x14ac:dyDescent="0.2">
      <c r="B238" s="16">
        <v>236</v>
      </c>
      <c r="C238" s="18">
        <v>1577.8</v>
      </c>
      <c r="D238" s="18">
        <v>1218.03</v>
      </c>
      <c r="E238" s="18">
        <v>359.77</v>
      </c>
      <c r="F238" s="18">
        <v>172371.23</v>
      </c>
    </row>
    <row r="239" spans="2:6" ht="18" x14ac:dyDescent="0.2">
      <c r="B239" s="16">
        <v>237</v>
      </c>
      <c r="C239" s="18">
        <v>1577.8</v>
      </c>
      <c r="D239" s="18">
        <v>1220.55</v>
      </c>
      <c r="E239" s="18">
        <v>357.25</v>
      </c>
      <c r="F239" s="18">
        <v>171150.68</v>
      </c>
    </row>
    <row r="240" spans="2:6" ht="18" x14ac:dyDescent="0.2">
      <c r="B240" s="16">
        <v>238</v>
      </c>
      <c r="C240" s="18">
        <v>1577.8</v>
      </c>
      <c r="D240" s="18">
        <v>1223.08</v>
      </c>
      <c r="E240" s="18">
        <v>354.72</v>
      </c>
      <c r="F240" s="18">
        <v>169927.6</v>
      </c>
    </row>
    <row r="241" spans="2:6" ht="18" x14ac:dyDescent="0.2">
      <c r="B241" s="16">
        <v>239</v>
      </c>
      <c r="C241" s="18">
        <v>1577.8</v>
      </c>
      <c r="D241" s="18">
        <v>1225.6099999999999</v>
      </c>
      <c r="E241" s="18">
        <v>352.19</v>
      </c>
      <c r="F241" s="18">
        <v>168701.99</v>
      </c>
    </row>
    <row r="242" spans="2:6" ht="18" x14ac:dyDescent="0.2">
      <c r="B242" s="16">
        <v>240</v>
      </c>
      <c r="C242" s="18">
        <v>1577.8</v>
      </c>
      <c r="D242" s="18">
        <v>1228.1500000000001</v>
      </c>
      <c r="E242" s="18">
        <v>349.65</v>
      </c>
      <c r="F242" s="18">
        <v>167473.84</v>
      </c>
    </row>
    <row r="243" spans="2:6" ht="18" x14ac:dyDescent="0.2">
      <c r="B243" s="16">
        <v>241</v>
      </c>
      <c r="C243" s="18">
        <v>1577.8</v>
      </c>
      <c r="D243" s="18">
        <v>1230.7</v>
      </c>
      <c r="E243" s="18">
        <v>347.1</v>
      </c>
      <c r="F243" s="18">
        <v>166243.14000000001</v>
      </c>
    </row>
    <row r="244" spans="2:6" ht="18" x14ac:dyDescent="0.2">
      <c r="B244" s="16">
        <v>242</v>
      </c>
      <c r="C244" s="18">
        <v>1577.8</v>
      </c>
      <c r="D244" s="18">
        <v>1233.25</v>
      </c>
      <c r="E244" s="18">
        <v>344.55</v>
      </c>
      <c r="F244" s="18">
        <v>165009.89000000001</v>
      </c>
    </row>
    <row r="245" spans="2:6" ht="18" x14ac:dyDescent="0.2">
      <c r="B245" s="16">
        <v>243</v>
      </c>
      <c r="C245" s="18">
        <v>1577.8</v>
      </c>
      <c r="D245" s="18">
        <v>1235.81</v>
      </c>
      <c r="E245" s="18">
        <v>341.99</v>
      </c>
      <c r="F245" s="18">
        <v>163774.07999999999</v>
      </c>
    </row>
    <row r="246" spans="2:6" ht="18" x14ac:dyDescent="0.2">
      <c r="B246" s="16">
        <v>244</v>
      </c>
      <c r="C246" s="18">
        <v>1577.8</v>
      </c>
      <c r="D246" s="18">
        <v>1238.3699999999999</v>
      </c>
      <c r="E246" s="18">
        <v>339.43</v>
      </c>
      <c r="F246" s="18">
        <v>162535.71</v>
      </c>
    </row>
    <row r="247" spans="2:6" ht="18" x14ac:dyDescent="0.2">
      <c r="B247" s="16">
        <v>245</v>
      </c>
      <c r="C247" s="18">
        <v>1577.8</v>
      </c>
      <c r="D247" s="18">
        <v>1240.93</v>
      </c>
      <c r="E247" s="18">
        <v>336.87</v>
      </c>
      <c r="F247" s="18">
        <v>161294.78</v>
      </c>
    </row>
    <row r="248" spans="2:6" ht="18" x14ac:dyDescent="0.2">
      <c r="B248" s="16">
        <v>246</v>
      </c>
      <c r="C248" s="18">
        <v>1577.8</v>
      </c>
      <c r="D248" s="18">
        <v>1243.51</v>
      </c>
      <c r="E248" s="18">
        <v>334.29</v>
      </c>
      <c r="F248" s="18">
        <v>160051.26999999999</v>
      </c>
    </row>
    <row r="249" spans="2:6" ht="18" x14ac:dyDescent="0.2">
      <c r="B249" s="16">
        <v>247</v>
      </c>
      <c r="C249" s="18">
        <v>1577.8</v>
      </c>
      <c r="D249" s="18">
        <v>1246.08</v>
      </c>
      <c r="E249" s="18">
        <v>331.72</v>
      </c>
      <c r="F249" s="18">
        <v>158805.19</v>
      </c>
    </row>
    <row r="250" spans="2:6" ht="18" x14ac:dyDescent="0.2">
      <c r="B250" s="16">
        <v>248</v>
      </c>
      <c r="C250" s="18">
        <v>1577.8</v>
      </c>
      <c r="D250" s="18">
        <v>1248.67</v>
      </c>
      <c r="E250" s="18">
        <v>329.13</v>
      </c>
      <c r="F250" s="18">
        <v>157556.51999999999</v>
      </c>
    </row>
    <row r="251" spans="2:6" ht="18" x14ac:dyDescent="0.2">
      <c r="B251" s="16">
        <v>249</v>
      </c>
      <c r="C251" s="18">
        <v>1577.8</v>
      </c>
      <c r="D251" s="18">
        <v>1251.25</v>
      </c>
      <c r="E251" s="18">
        <v>326.55</v>
      </c>
      <c r="F251" s="18">
        <v>156305.26999999999</v>
      </c>
    </row>
    <row r="252" spans="2:6" ht="18" x14ac:dyDescent="0.2">
      <c r="B252" s="16">
        <v>250</v>
      </c>
      <c r="C252" s="18">
        <v>1577.8</v>
      </c>
      <c r="D252" s="18">
        <v>1253.8499999999999</v>
      </c>
      <c r="E252" s="18">
        <v>323.95</v>
      </c>
      <c r="F252" s="18">
        <v>155051.42000000001</v>
      </c>
    </row>
    <row r="253" spans="2:6" ht="18" x14ac:dyDescent="0.2">
      <c r="B253" s="16">
        <v>251</v>
      </c>
      <c r="C253" s="18">
        <v>1577.8</v>
      </c>
      <c r="D253" s="18">
        <v>1256.45</v>
      </c>
      <c r="E253" s="18">
        <v>321.35000000000002</v>
      </c>
      <c r="F253" s="18">
        <v>153794.97</v>
      </c>
    </row>
    <row r="254" spans="2:6" ht="18" x14ac:dyDescent="0.2">
      <c r="B254" s="16">
        <v>252</v>
      </c>
      <c r="C254" s="18">
        <v>1577.8</v>
      </c>
      <c r="D254" s="18">
        <v>1259.05</v>
      </c>
      <c r="E254" s="18">
        <v>318.75</v>
      </c>
      <c r="F254" s="18">
        <v>152535.92000000001</v>
      </c>
    </row>
    <row r="255" spans="2:6" ht="18" x14ac:dyDescent="0.2">
      <c r="B255" s="16">
        <v>253</v>
      </c>
      <c r="C255" s="18">
        <v>1577.8</v>
      </c>
      <c r="D255" s="18">
        <v>1261.6600000000001</v>
      </c>
      <c r="E255" s="18">
        <v>316.14</v>
      </c>
      <c r="F255" s="18">
        <v>151274.26</v>
      </c>
    </row>
    <row r="256" spans="2:6" ht="18" x14ac:dyDescent="0.2">
      <c r="B256" s="16">
        <v>254</v>
      </c>
      <c r="C256" s="18">
        <v>1577.8</v>
      </c>
      <c r="D256" s="18">
        <v>1264.27</v>
      </c>
      <c r="E256" s="18">
        <v>313.52999999999997</v>
      </c>
      <c r="F256" s="18">
        <v>150009.99</v>
      </c>
    </row>
    <row r="257" spans="2:6" ht="18" x14ac:dyDescent="0.2">
      <c r="B257" s="16">
        <v>255</v>
      </c>
      <c r="C257" s="18">
        <v>1577.8</v>
      </c>
      <c r="D257" s="18">
        <v>1266.8900000000001</v>
      </c>
      <c r="E257" s="18">
        <v>310.91000000000003</v>
      </c>
      <c r="F257" s="18">
        <v>148743.1</v>
      </c>
    </row>
    <row r="258" spans="2:6" ht="18" x14ac:dyDescent="0.2">
      <c r="B258" s="16">
        <v>256</v>
      </c>
      <c r="C258" s="18">
        <v>1577.8</v>
      </c>
      <c r="D258" s="18">
        <v>1269.52</v>
      </c>
      <c r="E258" s="18">
        <v>308.27999999999997</v>
      </c>
      <c r="F258" s="18">
        <v>147473.57999999999</v>
      </c>
    </row>
    <row r="259" spans="2:6" ht="18" x14ac:dyDescent="0.2">
      <c r="B259" s="16">
        <v>257</v>
      </c>
      <c r="C259" s="18">
        <v>1577.8</v>
      </c>
      <c r="D259" s="18">
        <v>1272.1500000000001</v>
      </c>
      <c r="E259" s="18">
        <v>305.64999999999998</v>
      </c>
      <c r="F259" s="18">
        <v>146201.43</v>
      </c>
    </row>
    <row r="260" spans="2:6" ht="18" x14ac:dyDescent="0.2">
      <c r="B260" s="16">
        <v>258</v>
      </c>
      <c r="C260" s="18">
        <v>1577.8</v>
      </c>
      <c r="D260" s="18">
        <v>1274.79</v>
      </c>
      <c r="E260" s="18">
        <v>303.01</v>
      </c>
      <c r="F260" s="18">
        <v>144926.64000000001</v>
      </c>
    </row>
    <row r="261" spans="2:6" ht="18" x14ac:dyDescent="0.2">
      <c r="B261" s="16">
        <v>259</v>
      </c>
      <c r="C261" s="18">
        <v>1577.8</v>
      </c>
      <c r="D261" s="18">
        <v>1277.43</v>
      </c>
      <c r="E261" s="18">
        <v>300.37</v>
      </c>
      <c r="F261" s="18">
        <v>143649.21</v>
      </c>
    </row>
    <row r="262" spans="2:6" ht="18" x14ac:dyDescent="0.2">
      <c r="B262" s="16">
        <v>260</v>
      </c>
      <c r="C262" s="18">
        <v>1577.8</v>
      </c>
      <c r="D262" s="18">
        <v>1280.08</v>
      </c>
      <c r="E262" s="18">
        <v>297.72000000000003</v>
      </c>
      <c r="F262" s="18">
        <v>142369.13</v>
      </c>
    </row>
    <row r="263" spans="2:6" ht="18" x14ac:dyDescent="0.2">
      <c r="B263" s="16">
        <v>261</v>
      </c>
      <c r="C263" s="18">
        <v>1577.8</v>
      </c>
      <c r="D263" s="18">
        <v>1282.73</v>
      </c>
      <c r="E263" s="18">
        <v>295.07</v>
      </c>
      <c r="F263" s="18">
        <v>141086.39999999999</v>
      </c>
    </row>
    <row r="264" spans="2:6" ht="18" x14ac:dyDescent="0.2">
      <c r="B264" s="16">
        <v>262</v>
      </c>
      <c r="C264" s="18">
        <v>1577.8</v>
      </c>
      <c r="D264" s="18">
        <v>1285.3900000000001</v>
      </c>
      <c r="E264" s="18">
        <v>292.41000000000003</v>
      </c>
      <c r="F264" s="18">
        <v>139801.01</v>
      </c>
    </row>
    <row r="265" spans="2:6" ht="18" x14ac:dyDescent="0.2">
      <c r="B265" s="16">
        <v>263</v>
      </c>
      <c r="C265" s="18">
        <v>1577.8</v>
      </c>
      <c r="D265" s="18">
        <v>1288.05</v>
      </c>
      <c r="E265" s="18">
        <v>289.75</v>
      </c>
      <c r="F265" s="18">
        <v>138512.95999999999</v>
      </c>
    </row>
    <row r="266" spans="2:6" ht="18" x14ac:dyDescent="0.2">
      <c r="B266" s="16">
        <v>264</v>
      </c>
      <c r="C266" s="18">
        <v>1577.8</v>
      </c>
      <c r="D266" s="18">
        <v>1290.72</v>
      </c>
      <c r="E266" s="18">
        <v>287.08</v>
      </c>
      <c r="F266" s="18">
        <v>137222.24</v>
      </c>
    </row>
    <row r="267" spans="2:6" ht="18" x14ac:dyDescent="0.2">
      <c r="B267" s="16">
        <v>265</v>
      </c>
      <c r="C267" s="18">
        <v>1577.8</v>
      </c>
      <c r="D267" s="18">
        <v>1293.4000000000001</v>
      </c>
      <c r="E267" s="18">
        <v>284.39999999999998</v>
      </c>
      <c r="F267" s="18">
        <v>135928.84</v>
      </c>
    </row>
    <row r="268" spans="2:6" ht="18" x14ac:dyDescent="0.2">
      <c r="B268" s="16">
        <v>266</v>
      </c>
      <c r="C268" s="18">
        <v>1577.8</v>
      </c>
      <c r="D268" s="18">
        <v>1296.08</v>
      </c>
      <c r="E268" s="18">
        <v>281.72000000000003</v>
      </c>
      <c r="F268" s="18">
        <v>134632.76</v>
      </c>
    </row>
    <row r="269" spans="2:6" ht="18" x14ac:dyDescent="0.2">
      <c r="B269" s="16">
        <v>267</v>
      </c>
      <c r="C269" s="18">
        <v>1577.8</v>
      </c>
      <c r="D269" s="18">
        <v>1298.76</v>
      </c>
      <c r="E269" s="18">
        <v>279.04000000000002</v>
      </c>
      <c r="F269" s="18">
        <v>133334</v>
      </c>
    </row>
    <row r="270" spans="2:6" ht="18" x14ac:dyDescent="0.2">
      <c r="B270" s="16">
        <v>268</v>
      </c>
      <c r="C270" s="18">
        <v>1577.8</v>
      </c>
      <c r="D270" s="18">
        <v>1301.46</v>
      </c>
      <c r="E270" s="18">
        <v>276.33999999999997</v>
      </c>
      <c r="F270" s="18">
        <v>132032.54</v>
      </c>
    </row>
    <row r="271" spans="2:6" ht="18" x14ac:dyDescent="0.2">
      <c r="B271" s="16">
        <v>269</v>
      </c>
      <c r="C271" s="18">
        <v>1577.8</v>
      </c>
      <c r="D271" s="18">
        <v>1304.1500000000001</v>
      </c>
      <c r="E271" s="18">
        <v>273.64999999999998</v>
      </c>
      <c r="F271" s="18">
        <v>130728.39</v>
      </c>
    </row>
    <row r="272" spans="2:6" ht="18" x14ac:dyDescent="0.2">
      <c r="B272" s="16">
        <v>270</v>
      </c>
      <c r="C272" s="18">
        <v>1577.8</v>
      </c>
      <c r="D272" s="18">
        <v>1306.8599999999999</v>
      </c>
      <c r="E272" s="18">
        <v>270.94</v>
      </c>
      <c r="F272" s="18">
        <v>129421.53</v>
      </c>
    </row>
    <row r="273" spans="2:6" ht="18" x14ac:dyDescent="0.2">
      <c r="B273" s="16">
        <v>271</v>
      </c>
      <c r="C273" s="18">
        <v>1577.8</v>
      </c>
      <c r="D273" s="18">
        <v>1309.57</v>
      </c>
      <c r="E273" s="18">
        <v>268.23</v>
      </c>
      <c r="F273" s="18">
        <v>128111.96</v>
      </c>
    </row>
    <row r="274" spans="2:6" ht="18" x14ac:dyDescent="0.2">
      <c r="B274" s="16">
        <v>272</v>
      </c>
      <c r="C274" s="18">
        <v>1577.8</v>
      </c>
      <c r="D274" s="18">
        <v>1312.28</v>
      </c>
      <c r="E274" s="18">
        <v>265.52</v>
      </c>
      <c r="F274" s="18">
        <v>126799.67999999999</v>
      </c>
    </row>
    <row r="275" spans="2:6" ht="18" x14ac:dyDescent="0.2">
      <c r="B275" s="16">
        <v>273</v>
      </c>
      <c r="C275" s="18">
        <v>1577.8</v>
      </c>
      <c r="D275" s="18">
        <v>1315</v>
      </c>
      <c r="E275" s="18">
        <v>262.8</v>
      </c>
      <c r="F275" s="18">
        <v>125484.68</v>
      </c>
    </row>
    <row r="276" spans="2:6" ht="18" x14ac:dyDescent="0.2">
      <c r="B276" s="16">
        <v>274</v>
      </c>
      <c r="C276" s="18">
        <v>1577.8</v>
      </c>
      <c r="D276" s="18">
        <v>1317.72</v>
      </c>
      <c r="E276" s="18">
        <v>260.08</v>
      </c>
      <c r="F276" s="18">
        <v>124166.96</v>
      </c>
    </row>
    <row r="277" spans="2:6" ht="18" x14ac:dyDescent="0.2">
      <c r="B277" s="16">
        <v>275</v>
      </c>
      <c r="C277" s="18">
        <v>1577.8</v>
      </c>
      <c r="D277" s="18">
        <v>1320.46</v>
      </c>
      <c r="E277" s="18">
        <v>257.33999999999997</v>
      </c>
      <c r="F277" s="18">
        <v>122846.5</v>
      </c>
    </row>
    <row r="278" spans="2:6" ht="18" x14ac:dyDescent="0.2">
      <c r="B278" s="16">
        <v>276</v>
      </c>
      <c r="C278" s="18">
        <v>1577.8</v>
      </c>
      <c r="D278" s="18">
        <v>1323.19</v>
      </c>
      <c r="E278" s="18">
        <v>254.61</v>
      </c>
      <c r="F278" s="18">
        <v>121523.31</v>
      </c>
    </row>
    <row r="279" spans="2:6" ht="18" x14ac:dyDescent="0.2">
      <c r="B279" s="16">
        <v>277</v>
      </c>
      <c r="C279" s="18">
        <v>1577.8</v>
      </c>
      <c r="D279" s="18">
        <v>1325.94</v>
      </c>
      <c r="E279" s="18">
        <v>251.86</v>
      </c>
      <c r="F279" s="18">
        <v>120197.37</v>
      </c>
    </row>
    <row r="280" spans="2:6" ht="18" x14ac:dyDescent="0.2">
      <c r="B280" s="16">
        <v>278</v>
      </c>
      <c r="C280" s="18">
        <v>1577.8</v>
      </c>
      <c r="D280" s="18">
        <v>1328.68</v>
      </c>
      <c r="E280" s="18">
        <v>249.12</v>
      </c>
      <c r="F280" s="18">
        <v>118868.69</v>
      </c>
    </row>
    <row r="281" spans="2:6" ht="18" x14ac:dyDescent="0.2">
      <c r="B281" s="16">
        <v>279</v>
      </c>
      <c r="C281" s="18">
        <v>1577.8</v>
      </c>
      <c r="D281" s="18">
        <v>1331.44</v>
      </c>
      <c r="E281" s="18">
        <v>246.36</v>
      </c>
      <c r="F281" s="18">
        <v>117537.25</v>
      </c>
    </row>
    <row r="282" spans="2:6" ht="18" x14ac:dyDescent="0.2">
      <c r="B282" s="16">
        <v>280</v>
      </c>
      <c r="C282" s="18">
        <v>1577.8</v>
      </c>
      <c r="D282" s="18">
        <v>1334.2</v>
      </c>
      <c r="E282" s="18">
        <v>243.6</v>
      </c>
      <c r="F282" s="18">
        <v>116203.05</v>
      </c>
    </row>
    <row r="283" spans="2:6" ht="18" x14ac:dyDescent="0.2">
      <c r="B283" s="16">
        <v>281</v>
      </c>
      <c r="C283" s="18">
        <v>1577.8</v>
      </c>
      <c r="D283" s="18">
        <v>1336.96</v>
      </c>
      <c r="E283" s="18">
        <v>240.84</v>
      </c>
      <c r="F283" s="18">
        <v>114866.09</v>
      </c>
    </row>
    <row r="284" spans="2:6" ht="18" x14ac:dyDescent="0.2">
      <c r="B284" s="16">
        <v>282</v>
      </c>
      <c r="C284" s="18">
        <v>1577.8</v>
      </c>
      <c r="D284" s="18">
        <v>1339.73</v>
      </c>
      <c r="E284" s="18">
        <v>238.07</v>
      </c>
      <c r="F284" s="18">
        <v>113526.36</v>
      </c>
    </row>
    <row r="285" spans="2:6" ht="18" x14ac:dyDescent="0.2">
      <c r="B285" s="16">
        <v>283</v>
      </c>
      <c r="C285" s="18">
        <v>1577.8</v>
      </c>
      <c r="D285" s="18">
        <v>1342.51</v>
      </c>
      <c r="E285" s="18">
        <v>235.29</v>
      </c>
      <c r="F285" s="18">
        <v>112183.85</v>
      </c>
    </row>
    <row r="286" spans="2:6" ht="18" x14ac:dyDescent="0.2">
      <c r="B286" s="16">
        <v>284</v>
      </c>
      <c r="C286" s="18">
        <v>1577.8</v>
      </c>
      <c r="D286" s="18">
        <v>1345.29</v>
      </c>
      <c r="E286" s="18">
        <v>232.51</v>
      </c>
      <c r="F286" s="18">
        <v>110838.56</v>
      </c>
    </row>
    <row r="287" spans="2:6" ht="18" x14ac:dyDescent="0.2">
      <c r="B287" s="16">
        <v>285</v>
      </c>
      <c r="C287" s="18">
        <v>1577.8</v>
      </c>
      <c r="D287" s="18">
        <v>1348.08</v>
      </c>
      <c r="E287" s="18">
        <v>229.72</v>
      </c>
      <c r="F287" s="18">
        <v>109490.48</v>
      </c>
    </row>
    <row r="288" spans="2:6" ht="18" x14ac:dyDescent="0.2">
      <c r="B288" s="16">
        <v>286</v>
      </c>
      <c r="C288" s="18">
        <v>1577.8</v>
      </c>
      <c r="D288" s="18">
        <v>1350.87</v>
      </c>
      <c r="E288" s="18">
        <v>226.93</v>
      </c>
      <c r="F288" s="18">
        <v>108139.61</v>
      </c>
    </row>
    <row r="289" spans="2:6" ht="18" x14ac:dyDescent="0.2">
      <c r="B289" s="16">
        <v>287</v>
      </c>
      <c r="C289" s="18">
        <v>1577.8</v>
      </c>
      <c r="D289" s="18">
        <v>1353.67</v>
      </c>
      <c r="E289" s="18">
        <v>224.13</v>
      </c>
      <c r="F289" s="18">
        <v>106785.94</v>
      </c>
    </row>
    <row r="290" spans="2:6" ht="18" x14ac:dyDescent="0.2">
      <c r="B290" s="16">
        <v>288</v>
      </c>
      <c r="C290" s="18">
        <v>1577.8</v>
      </c>
      <c r="D290" s="18">
        <v>1356.48</v>
      </c>
      <c r="E290" s="18">
        <v>221.32</v>
      </c>
      <c r="F290" s="18">
        <v>105429.46</v>
      </c>
    </row>
    <row r="291" spans="2:6" ht="18" x14ac:dyDescent="0.2">
      <c r="B291" s="16">
        <v>289</v>
      </c>
      <c r="C291" s="18">
        <v>1577.8</v>
      </c>
      <c r="D291" s="18">
        <v>1359.29</v>
      </c>
      <c r="E291" s="18">
        <v>218.51</v>
      </c>
      <c r="F291" s="18">
        <v>104070.17</v>
      </c>
    </row>
    <row r="292" spans="2:6" ht="18" x14ac:dyDescent="0.2">
      <c r="B292" s="16">
        <v>290</v>
      </c>
      <c r="C292" s="18">
        <v>1577.8</v>
      </c>
      <c r="D292" s="18">
        <v>1362.11</v>
      </c>
      <c r="E292" s="18">
        <v>215.69</v>
      </c>
      <c r="F292" s="18">
        <v>102708.06</v>
      </c>
    </row>
    <row r="293" spans="2:6" ht="18" x14ac:dyDescent="0.2">
      <c r="B293" s="16">
        <v>291</v>
      </c>
      <c r="C293" s="18">
        <v>1577.8</v>
      </c>
      <c r="D293" s="18">
        <v>1364.93</v>
      </c>
      <c r="E293" s="18">
        <v>212.87</v>
      </c>
      <c r="F293" s="18">
        <v>101343.13</v>
      </c>
    </row>
    <row r="294" spans="2:6" ht="18" x14ac:dyDescent="0.2">
      <c r="B294" s="16">
        <v>292</v>
      </c>
      <c r="C294" s="18">
        <v>1577.8</v>
      </c>
      <c r="D294" s="18">
        <v>1367.76</v>
      </c>
      <c r="E294" s="18">
        <v>210.04</v>
      </c>
      <c r="F294" s="18">
        <v>99975.37</v>
      </c>
    </row>
    <row r="295" spans="2:6" ht="18" x14ac:dyDescent="0.2">
      <c r="B295" s="16">
        <v>293</v>
      </c>
      <c r="C295" s="18">
        <v>1577.8</v>
      </c>
      <c r="D295" s="18">
        <v>1370.59</v>
      </c>
      <c r="E295" s="18">
        <v>207.21</v>
      </c>
      <c r="F295" s="18">
        <v>98604.78</v>
      </c>
    </row>
    <row r="296" spans="2:6" ht="18" x14ac:dyDescent="0.2">
      <c r="B296" s="16">
        <v>294</v>
      </c>
      <c r="C296" s="18">
        <v>1577.8</v>
      </c>
      <c r="D296" s="18">
        <v>1373.44</v>
      </c>
      <c r="E296" s="18">
        <v>204.36</v>
      </c>
      <c r="F296" s="18">
        <v>97231.34</v>
      </c>
    </row>
    <row r="297" spans="2:6" ht="18" x14ac:dyDescent="0.2">
      <c r="B297" s="16">
        <v>295</v>
      </c>
      <c r="C297" s="18">
        <v>1577.8</v>
      </c>
      <c r="D297" s="18">
        <v>1376.28</v>
      </c>
      <c r="E297" s="18">
        <v>201.52</v>
      </c>
      <c r="F297" s="18">
        <v>95855.06</v>
      </c>
    </row>
    <row r="298" spans="2:6" ht="18" x14ac:dyDescent="0.2">
      <c r="B298" s="16">
        <v>296</v>
      </c>
      <c r="C298" s="18">
        <v>1577.8</v>
      </c>
      <c r="D298" s="18">
        <v>1379.13</v>
      </c>
      <c r="E298" s="18">
        <v>198.67</v>
      </c>
      <c r="F298" s="18">
        <v>94475.93</v>
      </c>
    </row>
    <row r="299" spans="2:6" ht="18" x14ac:dyDescent="0.2">
      <c r="B299" s="16">
        <v>297</v>
      </c>
      <c r="C299" s="18">
        <v>1577.8</v>
      </c>
      <c r="D299" s="18">
        <v>1381.99</v>
      </c>
      <c r="E299" s="18">
        <v>195.81</v>
      </c>
      <c r="F299" s="18">
        <v>93093.94</v>
      </c>
    </row>
    <row r="300" spans="2:6" ht="18" x14ac:dyDescent="0.2">
      <c r="B300" s="16">
        <v>298</v>
      </c>
      <c r="C300" s="18">
        <v>1577.8</v>
      </c>
      <c r="D300" s="18">
        <v>1384.86</v>
      </c>
      <c r="E300" s="18">
        <v>192.94</v>
      </c>
      <c r="F300" s="18">
        <v>91709.08</v>
      </c>
    </row>
    <row r="301" spans="2:6" ht="18" x14ac:dyDescent="0.2">
      <c r="B301" s="16">
        <v>299</v>
      </c>
      <c r="C301" s="18">
        <v>1577.8</v>
      </c>
      <c r="D301" s="18">
        <v>1387.73</v>
      </c>
      <c r="E301" s="18">
        <v>190.07</v>
      </c>
      <c r="F301" s="18">
        <v>90321.35</v>
      </c>
    </row>
    <row r="302" spans="2:6" ht="18" x14ac:dyDescent="0.2">
      <c r="B302" s="16">
        <v>300</v>
      </c>
      <c r="C302" s="18">
        <v>1577.8</v>
      </c>
      <c r="D302" s="18">
        <v>1390.6</v>
      </c>
      <c r="E302" s="18">
        <v>187.2</v>
      </c>
      <c r="F302" s="18">
        <v>88930.75</v>
      </c>
    </row>
    <row r="303" spans="2:6" ht="18" x14ac:dyDescent="0.2">
      <c r="B303" s="16">
        <v>301</v>
      </c>
      <c r="C303" s="18">
        <v>1577.8</v>
      </c>
      <c r="D303" s="18">
        <v>1393.49</v>
      </c>
      <c r="E303" s="18">
        <v>184.31</v>
      </c>
      <c r="F303" s="18">
        <v>87537.26</v>
      </c>
    </row>
    <row r="304" spans="2:6" ht="18" x14ac:dyDescent="0.2">
      <c r="B304" s="16">
        <v>302</v>
      </c>
      <c r="C304" s="18">
        <v>1577.8</v>
      </c>
      <c r="D304" s="18">
        <v>1396.37</v>
      </c>
      <c r="E304" s="18">
        <v>181.43</v>
      </c>
      <c r="F304" s="18">
        <v>86140.89</v>
      </c>
    </row>
    <row r="305" spans="2:6" ht="18" x14ac:dyDescent="0.2">
      <c r="B305" s="16">
        <v>303</v>
      </c>
      <c r="C305" s="18">
        <v>1577.8</v>
      </c>
      <c r="D305" s="18">
        <v>1399.27</v>
      </c>
      <c r="E305" s="18">
        <v>178.53</v>
      </c>
      <c r="F305" s="18">
        <v>84741.62</v>
      </c>
    </row>
    <row r="306" spans="2:6" ht="18" x14ac:dyDescent="0.2">
      <c r="B306" s="16">
        <v>304</v>
      </c>
      <c r="C306" s="18">
        <v>1577.8</v>
      </c>
      <c r="D306" s="18">
        <v>1402.17</v>
      </c>
      <c r="E306" s="18">
        <v>175.63</v>
      </c>
      <c r="F306" s="18">
        <v>83339.45</v>
      </c>
    </row>
    <row r="307" spans="2:6" ht="18" x14ac:dyDescent="0.2">
      <c r="B307" s="16">
        <v>305</v>
      </c>
      <c r="C307" s="18">
        <v>1577.8</v>
      </c>
      <c r="D307" s="18">
        <v>1405.07</v>
      </c>
      <c r="E307" s="18">
        <v>172.73</v>
      </c>
      <c r="F307" s="18">
        <v>81934.38</v>
      </c>
    </row>
    <row r="308" spans="2:6" ht="18" x14ac:dyDescent="0.2">
      <c r="B308" s="16">
        <v>306</v>
      </c>
      <c r="C308" s="18">
        <v>1577.8</v>
      </c>
      <c r="D308" s="18">
        <v>1407.99</v>
      </c>
      <c r="E308" s="18">
        <v>169.81</v>
      </c>
      <c r="F308" s="18">
        <v>80526.39</v>
      </c>
    </row>
    <row r="309" spans="2:6" ht="18" x14ac:dyDescent="0.2">
      <c r="B309" s="16">
        <v>307</v>
      </c>
      <c r="C309" s="18">
        <v>1577.8</v>
      </c>
      <c r="D309" s="18">
        <v>1410.9</v>
      </c>
      <c r="E309" s="18">
        <v>166.9</v>
      </c>
      <c r="F309" s="18">
        <v>79115.490000000005</v>
      </c>
    </row>
    <row r="310" spans="2:6" ht="18" x14ac:dyDescent="0.2">
      <c r="B310" s="16">
        <v>308</v>
      </c>
      <c r="C310" s="18">
        <v>1577.8</v>
      </c>
      <c r="D310" s="18">
        <v>1413.83</v>
      </c>
      <c r="E310" s="18">
        <v>163.97</v>
      </c>
      <c r="F310" s="18">
        <v>77701.66</v>
      </c>
    </row>
    <row r="311" spans="2:6" ht="18" x14ac:dyDescent="0.2">
      <c r="B311" s="16">
        <v>309</v>
      </c>
      <c r="C311" s="18">
        <v>1577.8</v>
      </c>
      <c r="D311" s="18">
        <v>1416.76</v>
      </c>
      <c r="E311" s="18">
        <v>161.04</v>
      </c>
      <c r="F311" s="18">
        <v>76284.899999999994</v>
      </c>
    </row>
    <row r="312" spans="2:6" ht="18" x14ac:dyDescent="0.2">
      <c r="B312" s="16">
        <v>310</v>
      </c>
      <c r="C312" s="18">
        <v>1577.8</v>
      </c>
      <c r="D312" s="18">
        <v>1419.69</v>
      </c>
      <c r="E312" s="18">
        <v>158.11000000000001</v>
      </c>
      <c r="F312" s="18">
        <v>74865.210000000006</v>
      </c>
    </row>
    <row r="313" spans="2:6" ht="18" x14ac:dyDescent="0.2">
      <c r="B313" s="16">
        <v>311</v>
      </c>
      <c r="C313" s="18">
        <v>1577.8</v>
      </c>
      <c r="D313" s="18">
        <v>1422.64</v>
      </c>
      <c r="E313" s="18">
        <v>155.16</v>
      </c>
      <c r="F313" s="18">
        <v>73442.570000000007</v>
      </c>
    </row>
    <row r="314" spans="2:6" ht="18" x14ac:dyDescent="0.2">
      <c r="B314" s="16">
        <v>312</v>
      </c>
      <c r="C314" s="18">
        <v>1577.8</v>
      </c>
      <c r="D314" s="18">
        <v>1425.59</v>
      </c>
      <c r="E314" s="18">
        <v>152.21</v>
      </c>
      <c r="F314" s="18">
        <v>72016.98</v>
      </c>
    </row>
    <row r="315" spans="2:6" ht="18" x14ac:dyDescent="0.2">
      <c r="B315" s="16">
        <v>313</v>
      </c>
      <c r="C315" s="18">
        <v>1577.8</v>
      </c>
      <c r="D315" s="18">
        <v>1428.54</v>
      </c>
      <c r="E315" s="18">
        <v>149.26</v>
      </c>
      <c r="F315" s="18">
        <v>70588.44</v>
      </c>
    </row>
    <row r="316" spans="2:6" ht="18" x14ac:dyDescent="0.2">
      <c r="B316" s="16">
        <v>314</v>
      </c>
      <c r="C316" s="18">
        <v>1577.8</v>
      </c>
      <c r="D316" s="18">
        <v>1431.5</v>
      </c>
      <c r="E316" s="18">
        <v>146.30000000000001</v>
      </c>
      <c r="F316" s="18">
        <v>69156.94</v>
      </c>
    </row>
    <row r="317" spans="2:6" ht="18" x14ac:dyDescent="0.2">
      <c r="B317" s="16">
        <v>315</v>
      </c>
      <c r="C317" s="18">
        <v>1577.8</v>
      </c>
      <c r="D317" s="18">
        <v>1434.47</v>
      </c>
      <c r="E317" s="18">
        <v>143.33000000000001</v>
      </c>
      <c r="F317" s="18">
        <v>67722.47</v>
      </c>
    </row>
    <row r="318" spans="2:6" ht="18" x14ac:dyDescent="0.2">
      <c r="B318" s="16">
        <v>316</v>
      </c>
      <c r="C318" s="18">
        <v>1577.8</v>
      </c>
      <c r="D318" s="18">
        <v>1437.44</v>
      </c>
      <c r="E318" s="18">
        <v>140.36000000000001</v>
      </c>
      <c r="F318" s="18">
        <v>66285.03</v>
      </c>
    </row>
    <row r="319" spans="2:6" ht="18" x14ac:dyDescent="0.2">
      <c r="B319" s="16">
        <v>317</v>
      </c>
      <c r="C319" s="18">
        <v>1577.8</v>
      </c>
      <c r="D319" s="18">
        <v>1440.42</v>
      </c>
      <c r="E319" s="18">
        <v>137.38</v>
      </c>
      <c r="F319" s="18">
        <v>64844.61</v>
      </c>
    </row>
    <row r="320" spans="2:6" ht="18" x14ac:dyDescent="0.2">
      <c r="B320" s="16">
        <v>318</v>
      </c>
      <c r="C320" s="18">
        <v>1577.8</v>
      </c>
      <c r="D320" s="18">
        <v>1443.41</v>
      </c>
      <c r="E320" s="18">
        <v>134.38999999999999</v>
      </c>
      <c r="F320" s="18">
        <v>63401.2</v>
      </c>
    </row>
    <row r="321" spans="2:6" ht="18" x14ac:dyDescent="0.2">
      <c r="B321" s="16">
        <v>319</v>
      </c>
      <c r="C321" s="18">
        <v>1577.8</v>
      </c>
      <c r="D321" s="18">
        <v>1446.4</v>
      </c>
      <c r="E321" s="18">
        <v>131.4</v>
      </c>
      <c r="F321" s="18">
        <v>61954.8</v>
      </c>
    </row>
    <row r="322" spans="2:6" ht="18" x14ac:dyDescent="0.2">
      <c r="B322" s="16">
        <v>320</v>
      </c>
      <c r="C322" s="18">
        <v>1577.8</v>
      </c>
      <c r="D322" s="18">
        <v>1449.39</v>
      </c>
      <c r="E322" s="18">
        <v>128.41</v>
      </c>
      <c r="F322" s="18">
        <v>60505.41</v>
      </c>
    </row>
    <row r="323" spans="2:6" ht="18" x14ac:dyDescent="0.2">
      <c r="B323" s="16">
        <v>321</v>
      </c>
      <c r="C323" s="18">
        <v>1577.8</v>
      </c>
      <c r="D323" s="18">
        <v>1452.4</v>
      </c>
      <c r="E323" s="18">
        <v>125.4</v>
      </c>
      <c r="F323" s="18">
        <v>59053.01</v>
      </c>
    </row>
    <row r="324" spans="2:6" ht="18" x14ac:dyDescent="0.2">
      <c r="B324" s="16">
        <v>322</v>
      </c>
      <c r="C324" s="18">
        <v>1577.8</v>
      </c>
      <c r="D324" s="18">
        <v>1455.41</v>
      </c>
      <c r="E324" s="18">
        <v>122.39</v>
      </c>
      <c r="F324" s="18">
        <v>57597.599999999999</v>
      </c>
    </row>
    <row r="325" spans="2:6" ht="18" x14ac:dyDescent="0.2">
      <c r="B325" s="16">
        <v>323</v>
      </c>
      <c r="C325" s="18">
        <v>1577.8</v>
      </c>
      <c r="D325" s="18">
        <v>1458.43</v>
      </c>
      <c r="E325" s="18">
        <v>119.37</v>
      </c>
      <c r="F325" s="18">
        <v>56139.17</v>
      </c>
    </row>
    <row r="326" spans="2:6" ht="18" x14ac:dyDescent="0.2">
      <c r="B326" s="16">
        <v>324</v>
      </c>
      <c r="C326" s="18">
        <v>1577.8</v>
      </c>
      <c r="D326" s="18">
        <v>1461.45</v>
      </c>
      <c r="E326" s="18">
        <v>116.35</v>
      </c>
      <c r="F326" s="18">
        <v>54677.72</v>
      </c>
    </row>
    <row r="327" spans="2:6" ht="18" x14ac:dyDescent="0.2">
      <c r="B327" s="16">
        <v>325</v>
      </c>
      <c r="C327" s="18">
        <v>1577.8</v>
      </c>
      <c r="D327" s="18">
        <v>1464.48</v>
      </c>
      <c r="E327" s="18">
        <v>113.32</v>
      </c>
      <c r="F327" s="18">
        <v>53213.24</v>
      </c>
    </row>
    <row r="328" spans="2:6" ht="18" x14ac:dyDescent="0.2">
      <c r="B328" s="16">
        <v>326</v>
      </c>
      <c r="C328" s="18">
        <v>1577.8</v>
      </c>
      <c r="D328" s="18">
        <v>1467.51</v>
      </c>
      <c r="E328" s="18">
        <v>110.29</v>
      </c>
      <c r="F328" s="18">
        <v>51745.73</v>
      </c>
    </row>
    <row r="329" spans="2:6" ht="18" x14ac:dyDescent="0.2">
      <c r="B329" s="16">
        <v>327</v>
      </c>
      <c r="C329" s="18">
        <v>1577.8</v>
      </c>
      <c r="D329" s="18">
        <v>1470.55</v>
      </c>
      <c r="E329" s="18">
        <v>107.25</v>
      </c>
      <c r="F329" s="18">
        <v>50275.18</v>
      </c>
    </row>
    <row r="330" spans="2:6" ht="18" x14ac:dyDescent="0.2">
      <c r="B330" s="16">
        <v>328</v>
      </c>
      <c r="C330" s="18">
        <v>1577.8</v>
      </c>
      <c r="D330" s="18">
        <v>1473.6</v>
      </c>
      <c r="E330" s="18">
        <v>104.2</v>
      </c>
      <c r="F330" s="18">
        <v>48801.58</v>
      </c>
    </row>
    <row r="331" spans="2:6" ht="18" x14ac:dyDescent="0.2">
      <c r="B331" s="16">
        <v>329</v>
      </c>
      <c r="C331" s="18">
        <v>1577.8</v>
      </c>
      <c r="D331" s="18">
        <v>1476.66</v>
      </c>
      <c r="E331" s="18">
        <v>101.14</v>
      </c>
      <c r="F331" s="18">
        <v>47324.92</v>
      </c>
    </row>
    <row r="332" spans="2:6" ht="18" x14ac:dyDescent="0.2">
      <c r="B332" s="16">
        <v>330</v>
      </c>
      <c r="C332" s="18">
        <v>1577.8</v>
      </c>
      <c r="D332" s="18">
        <v>1479.72</v>
      </c>
      <c r="E332" s="18">
        <v>98.08</v>
      </c>
      <c r="F332" s="18">
        <v>45845.2</v>
      </c>
    </row>
    <row r="333" spans="2:6" ht="18" x14ac:dyDescent="0.2">
      <c r="B333" s="16">
        <v>331</v>
      </c>
      <c r="C333" s="18">
        <v>1577.8</v>
      </c>
      <c r="D333" s="18">
        <v>1482.78</v>
      </c>
      <c r="E333" s="18">
        <v>95.02</v>
      </c>
      <c r="F333" s="18">
        <v>44362.42</v>
      </c>
    </row>
    <row r="334" spans="2:6" ht="18" x14ac:dyDescent="0.2">
      <c r="B334" s="16">
        <v>332</v>
      </c>
      <c r="C334" s="18">
        <v>1577.8</v>
      </c>
      <c r="D334" s="18">
        <v>1485.86</v>
      </c>
      <c r="E334" s="18">
        <v>91.94</v>
      </c>
      <c r="F334" s="18">
        <v>42876.56</v>
      </c>
    </row>
    <row r="335" spans="2:6" ht="18" x14ac:dyDescent="0.2">
      <c r="B335" s="16">
        <v>333</v>
      </c>
      <c r="C335" s="18">
        <v>1577.8</v>
      </c>
      <c r="D335" s="18">
        <v>1488.94</v>
      </c>
      <c r="E335" s="18">
        <v>88.86</v>
      </c>
      <c r="F335" s="18">
        <v>41387.620000000003</v>
      </c>
    </row>
    <row r="336" spans="2:6" ht="18" x14ac:dyDescent="0.2">
      <c r="B336" s="16">
        <v>334</v>
      </c>
      <c r="C336" s="18">
        <v>1577.8</v>
      </c>
      <c r="D336" s="18">
        <v>1492.02</v>
      </c>
      <c r="E336" s="18">
        <v>85.78</v>
      </c>
      <c r="F336" s="18">
        <v>39895.599999999999</v>
      </c>
    </row>
    <row r="337" spans="2:6" ht="18" x14ac:dyDescent="0.2">
      <c r="B337" s="16">
        <v>335</v>
      </c>
      <c r="C337" s="18">
        <v>1577.8</v>
      </c>
      <c r="D337" s="18">
        <v>1495.11</v>
      </c>
      <c r="E337" s="18">
        <v>82.69</v>
      </c>
      <c r="F337" s="18">
        <v>38400.49</v>
      </c>
    </row>
    <row r="338" spans="2:6" ht="18" x14ac:dyDescent="0.2">
      <c r="B338" s="16">
        <v>336</v>
      </c>
      <c r="C338" s="18">
        <v>1577.8</v>
      </c>
      <c r="D338" s="18">
        <v>1498.21</v>
      </c>
      <c r="E338" s="18">
        <v>79.59</v>
      </c>
      <c r="F338" s="18">
        <v>36902.28</v>
      </c>
    </row>
    <row r="339" spans="2:6" ht="18" x14ac:dyDescent="0.2">
      <c r="B339" s="16">
        <v>337</v>
      </c>
      <c r="C339" s="18">
        <v>1577.8</v>
      </c>
      <c r="D339" s="18">
        <v>1501.32</v>
      </c>
      <c r="E339" s="18">
        <v>76.48</v>
      </c>
      <c r="F339" s="18">
        <v>35400.959999999999</v>
      </c>
    </row>
    <row r="340" spans="2:6" ht="18" x14ac:dyDescent="0.2">
      <c r="B340" s="16">
        <v>338</v>
      </c>
      <c r="C340" s="18">
        <v>1577.8</v>
      </c>
      <c r="D340" s="18">
        <v>1504.43</v>
      </c>
      <c r="E340" s="18">
        <v>73.37</v>
      </c>
      <c r="F340" s="18">
        <v>33896.53</v>
      </c>
    </row>
    <row r="341" spans="2:6" ht="18" x14ac:dyDescent="0.2">
      <c r="B341" s="16">
        <v>339</v>
      </c>
      <c r="C341" s="18">
        <v>1577.8</v>
      </c>
      <c r="D341" s="18">
        <v>1507.55</v>
      </c>
      <c r="E341" s="18">
        <v>70.25</v>
      </c>
      <c r="F341" s="18">
        <v>32388.98</v>
      </c>
    </row>
    <row r="342" spans="2:6" ht="18" x14ac:dyDescent="0.2">
      <c r="B342" s="16">
        <v>340</v>
      </c>
      <c r="C342" s="18">
        <v>1577.8</v>
      </c>
      <c r="D342" s="18">
        <v>1510.67</v>
      </c>
      <c r="E342" s="18">
        <v>67.13</v>
      </c>
      <c r="F342" s="18">
        <v>30878.31</v>
      </c>
    </row>
    <row r="343" spans="2:6" ht="18" x14ac:dyDescent="0.2">
      <c r="B343" s="16">
        <v>341</v>
      </c>
      <c r="C343" s="18">
        <v>1577.8</v>
      </c>
      <c r="D343" s="18">
        <v>1513.8</v>
      </c>
      <c r="E343" s="18">
        <v>64</v>
      </c>
      <c r="F343" s="18">
        <v>29364.51</v>
      </c>
    </row>
    <row r="344" spans="2:6" ht="18" x14ac:dyDescent="0.2">
      <c r="B344" s="16">
        <v>342</v>
      </c>
      <c r="C344" s="18">
        <v>1577.8</v>
      </c>
      <c r="D344" s="18">
        <v>1516.94</v>
      </c>
      <c r="E344" s="18">
        <v>60.86</v>
      </c>
      <c r="F344" s="18">
        <v>27847.57</v>
      </c>
    </row>
    <row r="345" spans="2:6" ht="18" x14ac:dyDescent="0.2">
      <c r="B345" s="16">
        <v>343</v>
      </c>
      <c r="C345" s="18">
        <v>1577.8</v>
      </c>
      <c r="D345" s="18">
        <v>1520.08</v>
      </c>
      <c r="E345" s="18">
        <v>57.72</v>
      </c>
      <c r="F345" s="18">
        <v>26327.49</v>
      </c>
    </row>
    <row r="346" spans="2:6" ht="18" x14ac:dyDescent="0.2">
      <c r="B346" s="16">
        <v>344</v>
      </c>
      <c r="C346" s="18">
        <v>1577.8</v>
      </c>
      <c r="D346" s="18">
        <v>1523.23</v>
      </c>
      <c r="E346" s="18">
        <v>54.57</v>
      </c>
      <c r="F346" s="18">
        <v>24804.26</v>
      </c>
    </row>
    <row r="347" spans="2:6" ht="18" x14ac:dyDescent="0.2">
      <c r="B347" s="16">
        <v>345</v>
      </c>
      <c r="C347" s="18">
        <v>1577.8</v>
      </c>
      <c r="D347" s="18">
        <v>1526.39</v>
      </c>
      <c r="E347" s="18">
        <v>51.41</v>
      </c>
      <c r="F347" s="18">
        <v>23277.87</v>
      </c>
    </row>
    <row r="348" spans="2:6" ht="18" x14ac:dyDescent="0.2">
      <c r="B348" s="16">
        <v>346</v>
      </c>
      <c r="C348" s="18">
        <v>1577.8</v>
      </c>
      <c r="D348" s="18">
        <v>1529.56</v>
      </c>
      <c r="E348" s="18">
        <v>48.24</v>
      </c>
      <c r="F348" s="18">
        <v>21748.31</v>
      </c>
    </row>
    <row r="349" spans="2:6" ht="18" x14ac:dyDescent="0.2">
      <c r="B349" s="16">
        <v>347</v>
      </c>
      <c r="C349" s="18">
        <v>1577.8</v>
      </c>
      <c r="D349" s="18">
        <v>1532.73</v>
      </c>
      <c r="E349" s="18">
        <v>45.07</v>
      </c>
      <c r="F349" s="18">
        <v>20215.580000000002</v>
      </c>
    </row>
    <row r="350" spans="2:6" ht="18" x14ac:dyDescent="0.2">
      <c r="B350" s="16">
        <v>348</v>
      </c>
      <c r="C350" s="18">
        <v>1577.8</v>
      </c>
      <c r="D350" s="18">
        <v>1535.9</v>
      </c>
      <c r="E350" s="18">
        <v>41.9</v>
      </c>
      <c r="F350" s="18">
        <v>18679.68</v>
      </c>
    </row>
    <row r="351" spans="2:6" ht="18" x14ac:dyDescent="0.2">
      <c r="B351" s="16">
        <v>349</v>
      </c>
      <c r="C351" s="18">
        <v>1577.8</v>
      </c>
      <c r="D351" s="18">
        <v>1539.09</v>
      </c>
      <c r="E351" s="18">
        <v>38.71</v>
      </c>
      <c r="F351" s="18">
        <v>17140.59</v>
      </c>
    </row>
    <row r="352" spans="2:6" ht="18" x14ac:dyDescent="0.2">
      <c r="B352" s="16">
        <v>350</v>
      </c>
      <c r="C352" s="18">
        <v>1577.8</v>
      </c>
      <c r="D352" s="18">
        <v>1542.28</v>
      </c>
      <c r="E352" s="18">
        <v>35.520000000000003</v>
      </c>
      <c r="F352" s="18">
        <v>15598.31</v>
      </c>
    </row>
    <row r="353" spans="2:6" ht="18" x14ac:dyDescent="0.2">
      <c r="B353" s="16">
        <v>351</v>
      </c>
      <c r="C353" s="18">
        <v>1577.8</v>
      </c>
      <c r="D353" s="18">
        <v>1545.47</v>
      </c>
      <c r="E353" s="18">
        <v>32.33</v>
      </c>
      <c r="F353" s="18">
        <v>14052.84</v>
      </c>
    </row>
    <row r="354" spans="2:6" ht="18" x14ac:dyDescent="0.2">
      <c r="B354" s="16">
        <v>352</v>
      </c>
      <c r="C354" s="18">
        <v>1577.8</v>
      </c>
      <c r="D354" s="18">
        <v>1548.67</v>
      </c>
      <c r="E354" s="18">
        <v>29.13</v>
      </c>
      <c r="F354" s="18">
        <v>12504.17</v>
      </c>
    </row>
    <row r="355" spans="2:6" ht="18" x14ac:dyDescent="0.2">
      <c r="B355" s="16">
        <v>353</v>
      </c>
      <c r="C355" s="18">
        <v>1577.8</v>
      </c>
      <c r="D355" s="18">
        <v>1551.88</v>
      </c>
      <c r="E355" s="18">
        <v>25.92</v>
      </c>
      <c r="F355" s="18">
        <v>10952.29</v>
      </c>
    </row>
    <row r="356" spans="2:6" ht="18" x14ac:dyDescent="0.2">
      <c r="B356" s="16">
        <v>354</v>
      </c>
      <c r="C356" s="18">
        <v>1577.8</v>
      </c>
      <c r="D356" s="18">
        <v>1555.1</v>
      </c>
      <c r="E356" s="18">
        <v>22.7</v>
      </c>
      <c r="F356" s="18">
        <v>9397.19</v>
      </c>
    </row>
    <row r="357" spans="2:6" ht="18" x14ac:dyDescent="0.2">
      <c r="B357" s="16">
        <v>355</v>
      </c>
      <c r="C357" s="18">
        <v>1577.8</v>
      </c>
      <c r="D357" s="18">
        <v>1558.32</v>
      </c>
      <c r="E357" s="18">
        <v>19.48</v>
      </c>
      <c r="F357" s="18">
        <v>7838.87</v>
      </c>
    </row>
    <row r="358" spans="2:6" ht="18" x14ac:dyDescent="0.2">
      <c r="B358" s="16">
        <v>356</v>
      </c>
      <c r="C358" s="18">
        <v>1577.8</v>
      </c>
      <c r="D358" s="18">
        <v>1561.55</v>
      </c>
      <c r="E358" s="18">
        <v>16.25</v>
      </c>
      <c r="F358" s="18">
        <v>6277.32</v>
      </c>
    </row>
    <row r="359" spans="2:6" ht="18" x14ac:dyDescent="0.2">
      <c r="B359" s="16">
        <v>357</v>
      </c>
      <c r="C359" s="18">
        <v>1577.8</v>
      </c>
      <c r="D359" s="18">
        <v>1564.79</v>
      </c>
      <c r="E359" s="18">
        <v>13.01</v>
      </c>
      <c r="F359" s="18">
        <v>4712.53</v>
      </c>
    </row>
    <row r="360" spans="2:6" ht="18" x14ac:dyDescent="0.2">
      <c r="B360" s="16">
        <v>358</v>
      </c>
      <c r="C360" s="18">
        <v>1577.8</v>
      </c>
      <c r="D360" s="18">
        <v>1568.03</v>
      </c>
      <c r="E360" s="18">
        <v>9.77</v>
      </c>
      <c r="F360" s="18">
        <v>3144.5</v>
      </c>
    </row>
    <row r="361" spans="2:6" ht="18" x14ac:dyDescent="0.2">
      <c r="B361" s="16">
        <v>359</v>
      </c>
      <c r="C361" s="18">
        <v>1577.8</v>
      </c>
      <c r="D361" s="18">
        <v>1571.28</v>
      </c>
      <c r="E361" s="18">
        <v>6.52</v>
      </c>
      <c r="F361" s="18">
        <v>1573.22</v>
      </c>
    </row>
    <row r="362" spans="2:6" ht="18" x14ac:dyDescent="0.2">
      <c r="B362" s="16">
        <v>360</v>
      </c>
      <c r="C362" s="18">
        <v>1576.48</v>
      </c>
      <c r="D362" s="18">
        <v>1573.22</v>
      </c>
      <c r="E362" s="18">
        <v>3.26</v>
      </c>
      <c r="F362" s="18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79F5E-65D3-E142-986F-13ED13737C4D}">
  <dimension ref="A2:H363"/>
  <sheetViews>
    <sheetView tabSelected="1" workbookViewId="0">
      <selection activeCell="H15" sqref="H15"/>
    </sheetView>
    <sheetView workbookViewId="1"/>
  </sheetViews>
  <sheetFormatPr baseColWidth="10" defaultRowHeight="16" x14ac:dyDescent="0.2"/>
  <cols>
    <col min="3" max="5" width="12.6640625" bestFit="1" customWidth="1"/>
    <col min="6" max="6" width="15.33203125" bestFit="1" customWidth="1"/>
  </cols>
  <sheetData>
    <row r="2" spans="1:8" ht="18" x14ac:dyDescent="0.2">
      <c r="B2" s="19" t="s">
        <v>94</v>
      </c>
      <c r="C2" s="19" t="s">
        <v>95</v>
      </c>
      <c r="D2" s="19" t="s">
        <v>96</v>
      </c>
      <c r="E2" s="19" t="s">
        <v>97</v>
      </c>
      <c r="F2" s="19" t="s">
        <v>98</v>
      </c>
    </row>
    <row r="3" spans="1:8" ht="18" x14ac:dyDescent="0.2">
      <c r="B3" s="16">
        <v>1</v>
      </c>
      <c r="C3" s="18">
        <v>2083.25</v>
      </c>
      <c r="D3" s="20">
        <v>791.97</v>
      </c>
      <c r="E3" s="18">
        <v>1291.28</v>
      </c>
      <c r="F3" s="18">
        <v>479208.03</v>
      </c>
    </row>
    <row r="4" spans="1:8" ht="18" x14ac:dyDescent="0.2">
      <c r="B4" s="16">
        <v>2</v>
      </c>
      <c r="C4" s="18">
        <v>2083.25</v>
      </c>
      <c r="D4" s="20">
        <v>794.1</v>
      </c>
      <c r="E4" s="18">
        <v>1289.1500000000001</v>
      </c>
      <c r="F4" s="18">
        <v>478413.93</v>
      </c>
    </row>
    <row r="5" spans="1:8" ht="18" x14ac:dyDescent="0.2">
      <c r="B5" s="16">
        <v>3</v>
      </c>
      <c r="C5" s="18">
        <v>2083.25</v>
      </c>
      <c r="D5" s="20">
        <v>796.23</v>
      </c>
      <c r="E5" s="18">
        <v>1287.02</v>
      </c>
      <c r="F5" s="18">
        <v>477617.7</v>
      </c>
    </row>
    <row r="6" spans="1:8" ht="18" x14ac:dyDescent="0.2">
      <c r="B6" s="16">
        <v>4</v>
      </c>
      <c r="C6" s="18">
        <v>2083.25</v>
      </c>
      <c r="D6" s="20">
        <v>798.37</v>
      </c>
      <c r="E6" s="18">
        <v>1284.8800000000001</v>
      </c>
      <c r="F6" s="18">
        <v>476819.33</v>
      </c>
    </row>
    <row r="7" spans="1:8" ht="18" x14ac:dyDescent="0.2">
      <c r="B7" s="16">
        <v>5</v>
      </c>
      <c r="C7" s="18">
        <v>2083.25</v>
      </c>
      <c r="D7" s="20">
        <v>800.52</v>
      </c>
      <c r="E7" s="18">
        <v>1282.73</v>
      </c>
      <c r="F7" s="18">
        <v>476018.81</v>
      </c>
    </row>
    <row r="8" spans="1:8" ht="18" x14ac:dyDescent="0.2">
      <c r="B8" s="16">
        <v>6</v>
      </c>
      <c r="C8" s="18">
        <v>2083.25</v>
      </c>
      <c r="D8" s="20">
        <v>802.68</v>
      </c>
      <c r="E8" s="18">
        <v>1280.57</v>
      </c>
      <c r="F8" s="18">
        <v>475216.13</v>
      </c>
    </row>
    <row r="9" spans="1:8" ht="18" x14ac:dyDescent="0.2">
      <c r="B9" s="16">
        <v>7</v>
      </c>
      <c r="C9" s="18">
        <v>2083.25</v>
      </c>
      <c r="D9" s="20">
        <v>804.84</v>
      </c>
      <c r="E9" s="18">
        <v>1278.4100000000001</v>
      </c>
      <c r="F9" s="18">
        <v>474411.29</v>
      </c>
    </row>
    <row r="10" spans="1:8" ht="18" x14ac:dyDescent="0.2">
      <c r="B10" s="16">
        <v>8</v>
      </c>
      <c r="C10" s="18">
        <v>2083.25</v>
      </c>
      <c r="D10" s="20">
        <v>807</v>
      </c>
      <c r="E10" s="18">
        <v>1276.25</v>
      </c>
      <c r="F10" s="18">
        <v>473604.29</v>
      </c>
    </row>
    <row r="11" spans="1:8" ht="18" x14ac:dyDescent="0.2">
      <c r="B11" s="16">
        <v>9</v>
      </c>
      <c r="C11" s="18">
        <v>2083.25</v>
      </c>
      <c r="D11" s="20">
        <v>809.17</v>
      </c>
      <c r="E11" s="18">
        <v>1274.08</v>
      </c>
      <c r="F11" s="18">
        <v>472795.12</v>
      </c>
    </row>
    <row r="12" spans="1:8" ht="18" x14ac:dyDescent="0.2">
      <c r="B12" s="16">
        <v>10</v>
      </c>
      <c r="C12" s="18">
        <v>2083.25</v>
      </c>
      <c r="D12" s="20">
        <v>811.35</v>
      </c>
      <c r="E12" s="18">
        <v>1271.9000000000001</v>
      </c>
      <c r="F12" s="18">
        <v>471983.77</v>
      </c>
    </row>
    <row r="13" spans="1:8" ht="18" x14ac:dyDescent="0.2">
      <c r="B13" s="16">
        <v>11</v>
      </c>
      <c r="C13" s="18">
        <v>2083.25</v>
      </c>
      <c r="D13" s="20">
        <v>813.53</v>
      </c>
      <c r="E13" s="18">
        <v>1269.72</v>
      </c>
      <c r="F13" s="18">
        <v>471170.24</v>
      </c>
    </row>
    <row r="14" spans="1:8" ht="18" x14ac:dyDescent="0.2">
      <c r="A14" s="6"/>
      <c r="B14" s="16">
        <v>12</v>
      </c>
      <c r="C14" s="18">
        <v>2083.25</v>
      </c>
      <c r="D14" s="20">
        <v>815.72</v>
      </c>
      <c r="E14" s="18">
        <v>1267.53</v>
      </c>
      <c r="F14" s="18">
        <v>470354.52</v>
      </c>
      <c r="G14" s="17">
        <f>SUM(D3:D14)</f>
        <v>9645.48</v>
      </c>
      <c r="H14" s="17">
        <f>SUM(E3:E14)</f>
        <v>15353.519999999999</v>
      </c>
    </row>
    <row r="15" spans="1:8" ht="18" x14ac:dyDescent="0.2">
      <c r="B15" s="16">
        <v>13</v>
      </c>
      <c r="C15" s="18">
        <v>2083.25</v>
      </c>
      <c r="D15" s="21">
        <v>817.91</v>
      </c>
      <c r="E15" s="18">
        <v>1265.3399999999999</v>
      </c>
      <c r="F15" s="18">
        <v>469536.61</v>
      </c>
    </row>
    <row r="16" spans="1:8" ht="18" x14ac:dyDescent="0.2">
      <c r="B16" s="16">
        <v>14</v>
      </c>
      <c r="C16" s="18">
        <v>2083.25</v>
      </c>
      <c r="D16" s="21">
        <v>820.11</v>
      </c>
      <c r="E16" s="18">
        <v>1263.1400000000001</v>
      </c>
      <c r="F16" s="18">
        <v>468716.5</v>
      </c>
    </row>
    <row r="17" spans="1:8" ht="18" x14ac:dyDescent="0.2">
      <c r="B17" s="16">
        <v>15</v>
      </c>
      <c r="C17" s="18">
        <v>2083.25</v>
      </c>
      <c r="D17" s="21">
        <v>822.32</v>
      </c>
      <c r="E17" s="18">
        <v>1260.93</v>
      </c>
      <c r="F17" s="18">
        <v>467894.18</v>
      </c>
    </row>
    <row r="18" spans="1:8" ht="18" x14ac:dyDescent="0.2">
      <c r="B18" s="16">
        <v>16</v>
      </c>
      <c r="C18" s="18">
        <v>2083.25</v>
      </c>
      <c r="D18" s="21">
        <v>824.53</v>
      </c>
      <c r="E18" s="18">
        <v>1258.72</v>
      </c>
      <c r="F18" s="18">
        <v>467069.65</v>
      </c>
    </row>
    <row r="19" spans="1:8" ht="18" x14ac:dyDescent="0.2">
      <c r="B19" s="16">
        <v>17</v>
      </c>
      <c r="C19" s="18">
        <v>2083.25</v>
      </c>
      <c r="D19" s="21">
        <v>826.75</v>
      </c>
      <c r="E19" s="18">
        <v>1256.5</v>
      </c>
      <c r="F19" s="18">
        <v>466242.9</v>
      </c>
    </row>
    <row r="20" spans="1:8" ht="18" x14ac:dyDescent="0.2">
      <c r="B20" s="16">
        <v>18</v>
      </c>
      <c r="C20" s="18">
        <v>2083.25</v>
      </c>
      <c r="D20" s="21">
        <v>828.97</v>
      </c>
      <c r="E20" s="18">
        <v>1254.28</v>
      </c>
      <c r="F20" s="18">
        <v>465413.93</v>
      </c>
    </row>
    <row r="21" spans="1:8" ht="18" x14ac:dyDescent="0.2">
      <c r="B21" s="16">
        <v>19</v>
      </c>
      <c r="C21" s="18">
        <v>2083.25</v>
      </c>
      <c r="D21" s="21">
        <v>831.2</v>
      </c>
      <c r="E21" s="18">
        <v>1252.05</v>
      </c>
      <c r="F21" s="18">
        <v>464582.73</v>
      </c>
    </row>
    <row r="22" spans="1:8" ht="18" x14ac:dyDescent="0.2">
      <c r="B22" s="16">
        <v>20</v>
      </c>
      <c r="C22" s="18">
        <v>2083.25</v>
      </c>
      <c r="D22" s="21">
        <v>833.44</v>
      </c>
      <c r="E22" s="18">
        <v>1249.81</v>
      </c>
      <c r="F22" s="18">
        <v>463749.29</v>
      </c>
    </row>
    <row r="23" spans="1:8" ht="18" x14ac:dyDescent="0.2">
      <c r="B23" s="16">
        <v>21</v>
      </c>
      <c r="C23" s="18">
        <v>2083.25</v>
      </c>
      <c r="D23" s="21">
        <v>835.68</v>
      </c>
      <c r="E23" s="18">
        <v>1247.57</v>
      </c>
      <c r="F23" s="18">
        <v>462913.61</v>
      </c>
    </row>
    <row r="24" spans="1:8" ht="18" x14ac:dyDescent="0.2">
      <c r="B24" s="16">
        <v>22</v>
      </c>
      <c r="C24" s="18">
        <v>2083.25</v>
      </c>
      <c r="D24" s="21">
        <v>837.93</v>
      </c>
      <c r="E24" s="18">
        <v>1245.32</v>
      </c>
      <c r="F24" s="18">
        <v>462075.68</v>
      </c>
    </row>
    <row r="25" spans="1:8" ht="18" x14ac:dyDescent="0.2">
      <c r="B25" s="16">
        <v>23</v>
      </c>
      <c r="C25" s="18">
        <v>2083.25</v>
      </c>
      <c r="D25" s="21">
        <v>840.19</v>
      </c>
      <c r="E25" s="18">
        <v>1243.06</v>
      </c>
      <c r="F25" s="18">
        <v>461235.49</v>
      </c>
    </row>
    <row r="26" spans="1:8" ht="18" x14ac:dyDescent="0.2">
      <c r="A26" s="6"/>
      <c r="B26" s="16">
        <v>24</v>
      </c>
      <c r="C26" s="18">
        <v>2083.25</v>
      </c>
      <c r="D26" s="21">
        <v>842.45</v>
      </c>
      <c r="E26" s="18">
        <v>1240.8</v>
      </c>
      <c r="F26" s="18">
        <v>460393.04</v>
      </c>
      <c r="G26" s="17">
        <f>SUM(D15:D26)</f>
        <v>9961.4800000000014</v>
      </c>
      <c r="H26" s="17">
        <f>SUM(E15:E26)</f>
        <v>15037.519999999997</v>
      </c>
    </row>
    <row r="27" spans="1:8" ht="18" x14ac:dyDescent="0.2">
      <c r="B27" s="16">
        <v>25</v>
      </c>
      <c r="C27" s="18">
        <v>2083.25</v>
      </c>
      <c r="D27" s="25">
        <v>844.71</v>
      </c>
      <c r="E27" s="18">
        <v>1238.54</v>
      </c>
      <c r="F27" s="18">
        <v>459548.33</v>
      </c>
    </row>
    <row r="28" spans="1:8" ht="18" x14ac:dyDescent="0.2">
      <c r="B28" s="16">
        <v>26</v>
      </c>
      <c r="C28" s="18">
        <v>2083.25</v>
      </c>
      <c r="D28" s="25">
        <v>846.98</v>
      </c>
      <c r="E28" s="18">
        <v>1236.27</v>
      </c>
      <c r="F28" s="18">
        <v>458701.35</v>
      </c>
    </row>
    <row r="29" spans="1:8" ht="18" x14ac:dyDescent="0.2">
      <c r="B29" s="16">
        <v>27</v>
      </c>
      <c r="C29" s="18">
        <v>2083.25</v>
      </c>
      <c r="D29" s="25">
        <v>849.26</v>
      </c>
      <c r="E29" s="18">
        <v>1233.99</v>
      </c>
      <c r="F29" s="18">
        <v>457852.09</v>
      </c>
    </row>
    <row r="30" spans="1:8" ht="18" x14ac:dyDescent="0.2">
      <c r="B30" s="16">
        <v>28</v>
      </c>
      <c r="C30" s="18">
        <v>2083.25</v>
      </c>
      <c r="D30" s="25">
        <v>851.55</v>
      </c>
      <c r="E30" s="18">
        <v>1231.7</v>
      </c>
      <c r="F30" s="18">
        <v>457000.54</v>
      </c>
    </row>
    <row r="31" spans="1:8" ht="18" x14ac:dyDescent="0.2">
      <c r="B31" s="16">
        <v>29</v>
      </c>
      <c r="C31" s="18">
        <v>2083.25</v>
      </c>
      <c r="D31" s="25">
        <v>853.84</v>
      </c>
      <c r="E31" s="18">
        <v>1229.4100000000001</v>
      </c>
      <c r="F31" s="18">
        <v>456146.7</v>
      </c>
    </row>
    <row r="32" spans="1:8" ht="18" x14ac:dyDescent="0.2">
      <c r="B32" s="16">
        <v>30</v>
      </c>
      <c r="C32" s="18">
        <v>2083.25</v>
      </c>
      <c r="D32" s="25">
        <v>856.14</v>
      </c>
      <c r="E32" s="18">
        <v>1227.1099999999999</v>
      </c>
      <c r="F32" s="18">
        <v>455290.56</v>
      </c>
    </row>
    <row r="33" spans="1:8" ht="18" x14ac:dyDescent="0.2">
      <c r="B33" s="16">
        <v>31</v>
      </c>
      <c r="C33" s="18">
        <v>2083.25</v>
      </c>
      <c r="D33" s="25">
        <v>858.44</v>
      </c>
      <c r="E33" s="18">
        <v>1224.81</v>
      </c>
      <c r="F33" s="18">
        <v>454432.12</v>
      </c>
    </row>
    <row r="34" spans="1:8" ht="18" x14ac:dyDescent="0.2">
      <c r="B34" s="16">
        <v>32</v>
      </c>
      <c r="C34" s="18">
        <v>2083.25</v>
      </c>
      <c r="D34" s="25">
        <v>860.75</v>
      </c>
      <c r="E34" s="18">
        <v>1222.5</v>
      </c>
      <c r="F34" s="18">
        <v>453571.37</v>
      </c>
    </row>
    <row r="35" spans="1:8" ht="18" x14ac:dyDescent="0.2">
      <c r="B35" s="16">
        <v>33</v>
      </c>
      <c r="C35" s="18">
        <v>2083.25</v>
      </c>
      <c r="D35" s="25">
        <v>863.06</v>
      </c>
      <c r="E35" s="18">
        <v>1220.19</v>
      </c>
      <c r="F35" s="18">
        <v>452708.31</v>
      </c>
    </row>
    <row r="36" spans="1:8" ht="18" x14ac:dyDescent="0.2">
      <c r="B36" s="16">
        <v>34</v>
      </c>
      <c r="C36" s="18">
        <v>2083.25</v>
      </c>
      <c r="D36" s="25">
        <v>865.39</v>
      </c>
      <c r="E36" s="18">
        <v>1217.8599999999999</v>
      </c>
      <c r="F36" s="18">
        <v>451842.92</v>
      </c>
    </row>
    <row r="37" spans="1:8" ht="18" x14ac:dyDescent="0.2">
      <c r="B37" s="16">
        <v>35</v>
      </c>
      <c r="C37" s="18">
        <v>2083.25</v>
      </c>
      <c r="D37" s="25">
        <v>867.71</v>
      </c>
      <c r="E37" s="18">
        <v>1215.54</v>
      </c>
      <c r="F37" s="18">
        <v>450975.21</v>
      </c>
    </row>
    <row r="38" spans="1:8" ht="18" x14ac:dyDescent="0.2">
      <c r="A38" s="6"/>
      <c r="B38" s="16">
        <v>36</v>
      </c>
      <c r="C38" s="18">
        <v>2083.25</v>
      </c>
      <c r="D38" s="25">
        <v>870.05</v>
      </c>
      <c r="E38" s="18">
        <v>1213.2</v>
      </c>
      <c r="F38" s="18">
        <v>450105.16</v>
      </c>
      <c r="G38" s="17">
        <f>SUM(D27:D38)</f>
        <v>10287.879999999997</v>
      </c>
      <c r="H38" s="17">
        <f>SUM(E27:E38)</f>
        <v>14711.120000000003</v>
      </c>
    </row>
    <row r="39" spans="1:8" ht="18" x14ac:dyDescent="0.2">
      <c r="B39" s="16">
        <v>37</v>
      </c>
      <c r="C39" s="18">
        <v>2083.25</v>
      </c>
      <c r="D39" s="23">
        <v>872.39</v>
      </c>
      <c r="E39" s="18">
        <v>1210.8599999999999</v>
      </c>
      <c r="F39" s="18">
        <v>449232.77</v>
      </c>
    </row>
    <row r="40" spans="1:8" ht="18" x14ac:dyDescent="0.2">
      <c r="B40" s="16">
        <v>38</v>
      </c>
      <c r="C40" s="18">
        <v>2083.25</v>
      </c>
      <c r="D40" s="23">
        <v>874.73</v>
      </c>
      <c r="E40" s="18">
        <v>1208.52</v>
      </c>
      <c r="F40" s="18">
        <v>448358.04</v>
      </c>
    </row>
    <row r="41" spans="1:8" ht="18" x14ac:dyDescent="0.2">
      <c r="B41" s="16">
        <v>39</v>
      </c>
      <c r="C41" s="18">
        <v>2083.25</v>
      </c>
      <c r="D41" s="23">
        <v>877.09</v>
      </c>
      <c r="E41" s="18">
        <v>1206.1600000000001</v>
      </c>
      <c r="F41" s="18">
        <v>447480.95</v>
      </c>
    </row>
    <row r="42" spans="1:8" ht="18" x14ac:dyDescent="0.2">
      <c r="B42" s="16">
        <v>40</v>
      </c>
      <c r="C42" s="18">
        <v>2083.25</v>
      </c>
      <c r="D42" s="23">
        <v>879.45</v>
      </c>
      <c r="E42" s="18">
        <v>1203.8</v>
      </c>
      <c r="F42" s="18">
        <v>446601.5</v>
      </c>
    </row>
    <row r="43" spans="1:8" ht="18" x14ac:dyDescent="0.2">
      <c r="B43" s="16">
        <v>41</v>
      </c>
      <c r="C43" s="18">
        <v>2083.25</v>
      </c>
      <c r="D43" s="23">
        <v>881.81</v>
      </c>
      <c r="E43" s="18">
        <v>1201.44</v>
      </c>
      <c r="F43" s="18">
        <v>445719.69</v>
      </c>
    </row>
    <row r="44" spans="1:8" ht="18" x14ac:dyDescent="0.2">
      <c r="B44" s="16">
        <v>42</v>
      </c>
      <c r="C44" s="18">
        <v>2083.25</v>
      </c>
      <c r="D44" s="23">
        <v>884.19</v>
      </c>
      <c r="E44" s="18">
        <v>1199.06</v>
      </c>
      <c r="F44" s="18">
        <v>444835.5</v>
      </c>
    </row>
    <row r="45" spans="1:8" ht="18" x14ac:dyDescent="0.2">
      <c r="B45" s="16">
        <v>43</v>
      </c>
      <c r="C45" s="18">
        <v>2083.25</v>
      </c>
      <c r="D45" s="23">
        <v>886.56</v>
      </c>
      <c r="E45" s="18">
        <v>1196.69</v>
      </c>
      <c r="F45" s="18">
        <v>443948.94</v>
      </c>
    </row>
    <row r="46" spans="1:8" ht="18" x14ac:dyDescent="0.2">
      <c r="B46" s="16">
        <v>44</v>
      </c>
      <c r="C46" s="18">
        <v>2083.25</v>
      </c>
      <c r="D46" s="23">
        <v>888.95</v>
      </c>
      <c r="E46" s="18">
        <v>1194.3</v>
      </c>
      <c r="F46" s="18">
        <v>443059.99</v>
      </c>
    </row>
    <row r="47" spans="1:8" ht="18" x14ac:dyDescent="0.2">
      <c r="B47" s="16">
        <v>45</v>
      </c>
      <c r="C47" s="18">
        <v>2083.25</v>
      </c>
      <c r="D47" s="23">
        <v>891.34</v>
      </c>
      <c r="E47" s="18">
        <v>1191.9100000000001</v>
      </c>
      <c r="F47" s="18">
        <v>442168.65</v>
      </c>
    </row>
    <row r="48" spans="1:8" ht="18" x14ac:dyDescent="0.2">
      <c r="B48" s="16">
        <v>46</v>
      </c>
      <c r="C48" s="18">
        <v>2083.25</v>
      </c>
      <c r="D48" s="23">
        <v>893.74</v>
      </c>
      <c r="E48" s="18">
        <v>1189.51</v>
      </c>
      <c r="F48" s="18">
        <v>441274.91</v>
      </c>
    </row>
    <row r="49" spans="1:8" ht="18" x14ac:dyDescent="0.2">
      <c r="B49" s="16">
        <v>47</v>
      </c>
      <c r="C49" s="18">
        <v>2083.25</v>
      </c>
      <c r="D49" s="23">
        <v>896.14</v>
      </c>
      <c r="E49" s="18">
        <v>1187.1099999999999</v>
      </c>
      <c r="F49" s="18">
        <v>440378.77</v>
      </c>
    </row>
    <row r="50" spans="1:8" ht="18" x14ac:dyDescent="0.2">
      <c r="A50" s="6"/>
      <c r="B50" s="16">
        <v>48</v>
      </c>
      <c r="C50" s="18">
        <v>2083.25</v>
      </c>
      <c r="D50" s="23">
        <v>898.55</v>
      </c>
      <c r="E50" s="18">
        <v>1184.7</v>
      </c>
      <c r="F50" s="18">
        <v>439480.22</v>
      </c>
      <c r="G50" s="17">
        <f>SUM(D39:D50)</f>
        <v>10624.939999999999</v>
      </c>
      <c r="H50" s="17">
        <f>SUM(E39:E50)</f>
        <v>14374.060000000001</v>
      </c>
    </row>
    <row r="51" spans="1:8" ht="18" x14ac:dyDescent="0.2">
      <c r="B51" s="16">
        <v>49</v>
      </c>
      <c r="C51" s="18">
        <v>2083.25</v>
      </c>
      <c r="D51" s="24">
        <v>900.97</v>
      </c>
      <c r="E51" s="18">
        <v>1182.28</v>
      </c>
      <c r="F51" s="18">
        <v>438579.25</v>
      </c>
    </row>
    <row r="52" spans="1:8" ht="18" x14ac:dyDescent="0.2">
      <c r="B52" s="16">
        <v>50</v>
      </c>
      <c r="C52" s="18">
        <v>2083.25</v>
      </c>
      <c r="D52" s="24">
        <v>903.39</v>
      </c>
      <c r="E52" s="18">
        <v>1179.8599999999999</v>
      </c>
      <c r="F52" s="18">
        <v>437675.86</v>
      </c>
    </row>
    <row r="53" spans="1:8" ht="18" x14ac:dyDescent="0.2">
      <c r="B53" s="16">
        <v>51</v>
      </c>
      <c r="C53" s="18">
        <v>2083.25</v>
      </c>
      <c r="D53" s="24">
        <v>905.83</v>
      </c>
      <c r="E53" s="18">
        <v>1177.42</v>
      </c>
      <c r="F53" s="18">
        <v>436770.03</v>
      </c>
    </row>
    <row r="54" spans="1:8" ht="18" x14ac:dyDescent="0.2">
      <c r="B54" s="16">
        <v>52</v>
      </c>
      <c r="C54" s="18">
        <v>2083.25</v>
      </c>
      <c r="D54" s="24">
        <v>908.26</v>
      </c>
      <c r="E54" s="18">
        <v>1174.99</v>
      </c>
      <c r="F54" s="18">
        <v>435861.77</v>
      </c>
    </row>
    <row r="55" spans="1:8" ht="18" x14ac:dyDescent="0.2">
      <c r="B55" s="16">
        <v>53</v>
      </c>
      <c r="C55" s="18">
        <v>2083.25</v>
      </c>
      <c r="D55" s="24">
        <v>910.71</v>
      </c>
      <c r="E55" s="18">
        <v>1172.54</v>
      </c>
      <c r="F55" s="18">
        <v>434951.06</v>
      </c>
    </row>
    <row r="56" spans="1:8" ht="18" x14ac:dyDescent="0.2">
      <c r="B56" s="16">
        <v>54</v>
      </c>
      <c r="C56" s="18">
        <v>2083.25</v>
      </c>
      <c r="D56" s="24">
        <v>913.16</v>
      </c>
      <c r="E56" s="18">
        <v>1170.0899999999999</v>
      </c>
      <c r="F56" s="18">
        <v>434037.9</v>
      </c>
    </row>
    <row r="57" spans="1:8" ht="18" x14ac:dyDescent="0.2">
      <c r="B57" s="16">
        <v>55</v>
      </c>
      <c r="C57" s="18">
        <v>2083.25</v>
      </c>
      <c r="D57" s="24">
        <v>915.61</v>
      </c>
      <c r="E57" s="18">
        <v>1167.6400000000001</v>
      </c>
      <c r="F57" s="18">
        <v>433122.29</v>
      </c>
    </row>
    <row r="58" spans="1:8" ht="18" x14ac:dyDescent="0.2">
      <c r="B58" s="16">
        <v>56</v>
      </c>
      <c r="C58" s="18">
        <v>2083.25</v>
      </c>
      <c r="D58" s="24">
        <v>918.07</v>
      </c>
      <c r="E58" s="18">
        <v>1165.18</v>
      </c>
      <c r="F58" s="18">
        <v>432204.22</v>
      </c>
    </row>
    <row r="59" spans="1:8" ht="18" x14ac:dyDescent="0.2">
      <c r="B59" s="16">
        <v>57</v>
      </c>
      <c r="C59" s="18">
        <v>2083.25</v>
      </c>
      <c r="D59" s="24">
        <v>920.54</v>
      </c>
      <c r="E59" s="18">
        <v>1162.71</v>
      </c>
      <c r="F59" s="18">
        <v>431283.68</v>
      </c>
    </row>
    <row r="60" spans="1:8" ht="18" x14ac:dyDescent="0.2">
      <c r="B60" s="16">
        <v>58</v>
      </c>
      <c r="C60" s="18">
        <v>2083.25</v>
      </c>
      <c r="D60" s="24">
        <v>923.02</v>
      </c>
      <c r="E60" s="18">
        <v>1160.23</v>
      </c>
      <c r="F60" s="18">
        <v>430360.66</v>
      </c>
    </row>
    <row r="61" spans="1:8" ht="18" x14ac:dyDescent="0.2">
      <c r="B61" s="16">
        <v>59</v>
      </c>
      <c r="C61" s="18">
        <v>2083.25</v>
      </c>
      <c r="D61" s="24">
        <v>925.5</v>
      </c>
      <c r="E61" s="18">
        <v>1157.75</v>
      </c>
      <c r="F61" s="18">
        <v>429435.16</v>
      </c>
    </row>
    <row r="62" spans="1:8" ht="18" x14ac:dyDescent="0.2">
      <c r="A62" s="6"/>
      <c r="B62" s="16">
        <v>60</v>
      </c>
      <c r="C62" s="18">
        <v>2083.25</v>
      </c>
      <c r="D62" s="24">
        <v>927.99</v>
      </c>
      <c r="E62" s="18">
        <v>1155.26</v>
      </c>
      <c r="F62" s="18">
        <v>428507.17</v>
      </c>
      <c r="G62" s="17">
        <f>SUM(D51:D62)</f>
        <v>10973.05</v>
      </c>
      <c r="H62" s="17">
        <f>SUM(E51:E62)</f>
        <v>14025.949999999999</v>
      </c>
    </row>
    <row r="63" spans="1:8" ht="18" x14ac:dyDescent="0.2">
      <c r="B63" s="16">
        <v>61</v>
      </c>
      <c r="C63" s="18">
        <v>2083.25</v>
      </c>
      <c r="D63" s="18">
        <v>930.49</v>
      </c>
      <c r="E63" s="18">
        <v>1152.76</v>
      </c>
      <c r="F63" s="18">
        <v>427576.68</v>
      </c>
    </row>
    <row r="64" spans="1:8" ht="18" x14ac:dyDescent="0.2">
      <c r="B64" s="16">
        <v>62</v>
      </c>
      <c r="C64" s="18">
        <v>2083.25</v>
      </c>
      <c r="D64" s="18">
        <v>932.99</v>
      </c>
      <c r="E64" s="18">
        <v>1150.26</v>
      </c>
      <c r="F64" s="18">
        <v>426643.69</v>
      </c>
    </row>
    <row r="65" spans="2:6" ht="18" x14ac:dyDescent="0.2">
      <c r="B65" s="16">
        <v>63</v>
      </c>
      <c r="C65" s="18">
        <v>2083.25</v>
      </c>
      <c r="D65" s="18">
        <v>935.5</v>
      </c>
      <c r="E65" s="18">
        <v>1147.75</v>
      </c>
      <c r="F65" s="18">
        <v>425708.19</v>
      </c>
    </row>
    <row r="66" spans="2:6" ht="18" x14ac:dyDescent="0.2">
      <c r="B66" s="16">
        <v>64</v>
      </c>
      <c r="C66" s="18">
        <v>2083.25</v>
      </c>
      <c r="D66" s="18">
        <v>938.02</v>
      </c>
      <c r="E66" s="18">
        <v>1145.23</v>
      </c>
      <c r="F66" s="18">
        <v>424770.17</v>
      </c>
    </row>
    <row r="67" spans="2:6" ht="18" x14ac:dyDescent="0.2">
      <c r="B67" s="16">
        <v>65</v>
      </c>
      <c r="C67" s="18">
        <v>2083.25</v>
      </c>
      <c r="D67" s="18">
        <v>940.54</v>
      </c>
      <c r="E67" s="18">
        <v>1142.71</v>
      </c>
      <c r="F67" s="18">
        <v>423829.63</v>
      </c>
    </row>
    <row r="68" spans="2:6" ht="18" x14ac:dyDescent="0.2">
      <c r="B68" s="16">
        <v>66</v>
      </c>
      <c r="C68" s="18">
        <v>2083.25</v>
      </c>
      <c r="D68" s="18">
        <v>943.07</v>
      </c>
      <c r="E68" s="18">
        <v>1140.18</v>
      </c>
      <c r="F68" s="18">
        <v>422886.56</v>
      </c>
    </row>
    <row r="69" spans="2:6" ht="18" x14ac:dyDescent="0.2">
      <c r="B69" s="16">
        <v>67</v>
      </c>
      <c r="C69" s="18">
        <v>2083.25</v>
      </c>
      <c r="D69" s="18">
        <v>945.61</v>
      </c>
      <c r="E69" s="18">
        <v>1137.6400000000001</v>
      </c>
      <c r="F69" s="18">
        <v>421940.95</v>
      </c>
    </row>
    <row r="70" spans="2:6" ht="18" x14ac:dyDescent="0.2">
      <c r="B70" s="16">
        <v>68</v>
      </c>
      <c r="C70" s="18">
        <v>2083.25</v>
      </c>
      <c r="D70" s="18">
        <v>948.15</v>
      </c>
      <c r="E70" s="18">
        <v>1135.0999999999999</v>
      </c>
      <c r="F70" s="18">
        <v>420992.8</v>
      </c>
    </row>
    <row r="71" spans="2:6" ht="18" x14ac:dyDescent="0.2">
      <c r="B71" s="16">
        <v>69</v>
      </c>
      <c r="C71" s="18">
        <v>2083.25</v>
      </c>
      <c r="D71" s="18">
        <v>950.71</v>
      </c>
      <c r="E71" s="18">
        <v>1132.54</v>
      </c>
      <c r="F71" s="18">
        <v>420042.09</v>
      </c>
    </row>
    <row r="72" spans="2:6" ht="18" x14ac:dyDescent="0.2">
      <c r="B72" s="16">
        <v>70</v>
      </c>
      <c r="C72" s="18">
        <v>2083.25</v>
      </c>
      <c r="D72" s="18">
        <v>953.26</v>
      </c>
      <c r="E72" s="18">
        <v>1129.99</v>
      </c>
      <c r="F72" s="18">
        <v>419088.83</v>
      </c>
    </row>
    <row r="73" spans="2:6" ht="18" x14ac:dyDescent="0.2">
      <c r="B73" s="16">
        <v>71</v>
      </c>
      <c r="C73" s="18">
        <v>2083.25</v>
      </c>
      <c r="D73" s="18">
        <v>955.83</v>
      </c>
      <c r="E73" s="18">
        <v>1127.42</v>
      </c>
      <c r="F73" s="18">
        <v>418133</v>
      </c>
    </row>
    <row r="74" spans="2:6" ht="18" x14ac:dyDescent="0.2">
      <c r="B74" s="16">
        <v>72</v>
      </c>
      <c r="C74" s="18">
        <v>2083.25</v>
      </c>
      <c r="D74" s="18">
        <v>958.4</v>
      </c>
      <c r="E74" s="18">
        <v>1124.8499999999999</v>
      </c>
      <c r="F74" s="18">
        <v>417174.6</v>
      </c>
    </row>
    <row r="75" spans="2:6" ht="18" x14ac:dyDescent="0.2">
      <c r="B75" s="16">
        <v>73</v>
      </c>
      <c r="C75" s="18">
        <v>2083.25</v>
      </c>
      <c r="D75" s="18">
        <v>960.98</v>
      </c>
      <c r="E75" s="18">
        <v>1122.27</v>
      </c>
      <c r="F75" s="18">
        <v>416213.62</v>
      </c>
    </row>
    <row r="76" spans="2:6" ht="18" x14ac:dyDescent="0.2">
      <c r="B76" s="16">
        <v>74</v>
      </c>
      <c r="C76" s="18">
        <v>2083.25</v>
      </c>
      <c r="D76" s="18">
        <v>963.56</v>
      </c>
      <c r="E76" s="18">
        <v>1119.69</v>
      </c>
      <c r="F76" s="18">
        <v>415250.06</v>
      </c>
    </row>
    <row r="77" spans="2:6" ht="18" x14ac:dyDescent="0.2">
      <c r="B77" s="16">
        <v>75</v>
      </c>
      <c r="C77" s="18">
        <v>2083.25</v>
      </c>
      <c r="D77" s="18">
        <v>966.15</v>
      </c>
      <c r="E77" s="18">
        <v>1117.0999999999999</v>
      </c>
      <c r="F77" s="18">
        <v>414283.91</v>
      </c>
    </row>
    <row r="78" spans="2:6" ht="18" x14ac:dyDescent="0.2">
      <c r="B78" s="16">
        <v>76</v>
      </c>
      <c r="C78" s="18">
        <v>2083.25</v>
      </c>
      <c r="D78" s="18">
        <v>968.75</v>
      </c>
      <c r="E78" s="18">
        <v>1114.5</v>
      </c>
      <c r="F78" s="18">
        <v>413315.16</v>
      </c>
    </row>
    <row r="79" spans="2:6" ht="18" x14ac:dyDescent="0.2">
      <c r="B79" s="16">
        <v>77</v>
      </c>
      <c r="C79" s="18">
        <v>2083.25</v>
      </c>
      <c r="D79" s="18">
        <v>971.36</v>
      </c>
      <c r="E79" s="18">
        <v>1111.8900000000001</v>
      </c>
      <c r="F79" s="18">
        <v>412343.8</v>
      </c>
    </row>
    <row r="80" spans="2:6" ht="18" x14ac:dyDescent="0.2">
      <c r="B80" s="16">
        <v>78</v>
      </c>
      <c r="C80" s="18">
        <v>2083.25</v>
      </c>
      <c r="D80" s="18">
        <v>973.97</v>
      </c>
      <c r="E80" s="18">
        <v>1109.28</v>
      </c>
      <c r="F80" s="18">
        <v>411369.83</v>
      </c>
    </row>
    <row r="81" spans="2:6" ht="18" x14ac:dyDescent="0.2">
      <c r="B81" s="16">
        <v>79</v>
      </c>
      <c r="C81" s="18">
        <v>2083.25</v>
      </c>
      <c r="D81" s="18">
        <v>976.59</v>
      </c>
      <c r="E81" s="18">
        <v>1106.6600000000001</v>
      </c>
      <c r="F81" s="18">
        <v>410393.24</v>
      </c>
    </row>
    <row r="82" spans="2:6" ht="18" x14ac:dyDescent="0.2">
      <c r="B82" s="16">
        <v>80</v>
      </c>
      <c r="C82" s="18">
        <v>2083.25</v>
      </c>
      <c r="D82" s="18">
        <v>979.22</v>
      </c>
      <c r="E82" s="18">
        <v>1104.03</v>
      </c>
      <c r="F82" s="18">
        <v>409414.02</v>
      </c>
    </row>
    <row r="83" spans="2:6" ht="18" x14ac:dyDescent="0.2">
      <c r="B83" s="16">
        <v>81</v>
      </c>
      <c r="C83" s="18">
        <v>2083.25</v>
      </c>
      <c r="D83" s="18">
        <v>981.85</v>
      </c>
      <c r="E83" s="18">
        <v>1101.4000000000001</v>
      </c>
      <c r="F83" s="18">
        <v>408432.17</v>
      </c>
    </row>
    <row r="84" spans="2:6" ht="18" x14ac:dyDescent="0.2">
      <c r="B84" s="16">
        <v>82</v>
      </c>
      <c r="C84" s="18">
        <v>2083.25</v>
      </c>
      <c r="D84" s="18">
        <v>984.5</v>
      </c>
      <c r="E84" s="18">
        <v>1098.75</v>
      </c>
      <c r="F84" s="18">
        <v>407447.67</v>
      </c>
    </row>
    <row r="85" spans="2:6" ht="18" x14ac:dyDescent="0.2">
      <c r="B85" s="16">
        <v>83</v>
      </c>
      <c r="C85" s="18">
        <v>2083.25</v>
      </c>
      <c r="D85" s="18">
        <v>987.14</v>
      </c>
      <c r="E85" s="18">
        <v>1096.1099999999999</v>
      </c>
      <c r="F85" s="18">
        <v>406460.53</v>
      </c>
    </row>
    <row r="86" spans="2:6" ht="18" x14ac:dyDescent="0.2">
      <c r="B86" s="16">
        <v>84</v>
      </c>
      <c r="C86" s="18">
        <v>2083.25</v>
      </c>
      <c r="D86" s="18">
        <v>989.8</v>
      </c>
      <c r="E86" s="18">
        <v>1093.45</v>
      </c>
      <c r="F86" s="18">
        <v>405470.73</v>
      </c>
    </row>
    <row r="87" spans="2:6" ht="18" x14ac:dyDescent="0.2">
      <c r="B87" s="16">
        <v>85</v>
      </c>
      <c r="C87" s="18">
        <v>2083.25</v>
      </c>
      <c r="D87" s="18">
        <v>992.46</v>
      </c>
      <c r="E87" s="18">
        <v>1090.79</v>
      </c>
      <c r="F87" s="18">
        <v>404478.27</v>
      </c>
    </row>
    <row r="88" spans="2:6" ht="18" x14ac:dyDescent="0.2">
      <c r="B88" s="16">
        <v>86</v>
      </c>
      <c r="C88" s="18">
        <v>2083.25</v>
      </c>
      <c r="D88" s="18">
        <v>995.13</v>
      </c>
      <c r="E88" s="18">
        <v>1088.1199999999999</v>
      </c>
      <c r="F88" s="18">
        <v>403483.14</v>
      </c>
    </row>
    <row r="89" spans="2:6" ht="18" x14ac:dyDescent="0.2">
      <c r="B89" s="16">
        <v>87</v>
      </c>
      <c r="C89" s="18">
        <v>2083.25</v>
      </c>
      <c r="D89" s="18">
        <v>997.81</v>
      </c>
      <c r="E89" s="18">
        <v>1085.44</v>
      </c>
      <c r="F89" s="18">
        <v>402485.33</v>
      </c>
    </row>
    <row r="90" spans="2:6" ht="18" x14ac:dyDescent="0.2">
      <c r="B90" s="16">
        <v>88</v>
      </c>
      <c r="C90" s="18">
        <v>2083.25</v>
      </c>
      <c r="D90" s="18">
        <v>1000.49</v>
      </c>
      <c r="E90" s="18">
        <v>1082.76</v>
      </c>
      <c r="F90" s="18">
        <v>401484.84</v>
      </c>
    </row>
    <row r="91" spans="2:6" ht="18" x14ac:dyDescent="0.2">
      <c r="B91" s="16">
        <v>89</v>
      </c>
      <c r="C91" s="18">
        <v>2083.25</v>
      </c>
      <c r="D91" s="18">
        <v>1003.19</v>
      </c>
      <c r="E91" s="18">
        <v>1080.06</v>
      </c>
      <c r="F91" s="18">
        <v>400481.65</v>
      </c>
    </row>
    <row r="92" spans="2:6" ht="18" x14ac:dyDescent="0.2">
      <c r="B92" s="16">
        <v>90</v>
      </c>
      <c r="C92" s="18">
        <v>2083.25</v>
      </c>
      <c r="D92" s="18">
        <v>1005.88</v>
      </c>
      <c r="E92" s="18">
        <v>1077.3699999999999</v>
      </c>
      <c r="F92" s="18">
        <v>399475.77</v>
      </c>
    </row>
    <row r="93" spans="2:6" ht="18" x14ac:dyDescent="0.2">
      <c r="B93" s="16">
        <v>91</v>
      </c>
      <c r="C93" s="18">
        <v>2083.25</v>
      </c>
      <c r="D93" s="18">
        <v>1008.59</v>
      </c>
      <c r="E93" s="18">
        <v>1074.6600000000001</v>
      </c>
      <c r="F93" s="18">
        <v>398467.18</v>
      </c>
    </row>
    <row r="94" spans="2:6" ht="18" x14ac:dyDescent="0.2">
      <c r="B94" s="16">
        <v>92</v>
      </c>
      <c r="C94" s="18">
        <v>2083.25</v>
      </c>
      <c r="D94" s="18">
        <v>1011.3</v>
      </c>
      <c r="E94" s="18">
        <v>1071.95</v>
      </c>
      <c r="F94" s="18">
        <v>397455.88</v>
      </c>
    </row>
    <row r="95" spans="2:6" ht="18" x14ac:dyDescent="0.2">
      <c r="B95" s="16">
        <v>93</v>
      </c>
      <c r="C95" s="18">
        <v>2083.25</v>
      </c>
      <c r="D95" s="18">
        <v>1014.02</v>
      </c>
      <c r="E95" s="18">
        <v>1069.23</v>
      </c>
      <c r="F95" s="18">
        <v>396441.86</v>
      </c>
    </row>
    <row r="96" spans="2:6" ht="18" x14ac:dyDescent="0.2">
      <c r="B96" s="16">
        <v>94</v>
      </c>
      <c r="C96" s="18">
        <v>2083.25</v>
      </c>
      <c r="D96" s="18">
        <v>1016.75</v>
      </c>
      <c r="E96" s="18">
        <v>1066.5</v>
      </c>
      <c r="F96" s="18">
        <v>395425.11</v>
      </c>
    </row>
    <row r="97" spans="2:6" ht="18" x14ac:dyDescent="0.2">
      <c r="B97" s="16">
        <v>95</v>
      </c>
      <c r="C97" s="18">
        <v>2083.25</v>
      </c>
      <c r="D97" s="18">
        <v>1019.49</v>
      </c>
      <c r="E97" s="18">
        <v>1063.76</v>
      </c>
      <c r="F97" s="18">
        <v>394405.62</v>
      </c>
    </row>
    <row r="98" spans="2:6" ht="18" x14ac:dyDescent="0.2">
      <c r="B98" s="16">
        <v>96</v>
      </c>
      <c r="C98" s="18">
        <v>2083.25</v>
      </c>
      <c r="D98" s="18">
        <v>1022.23</v>
      </c>
      <c r="E98" s="18">
        <v>1061.02</v>
      </c>
      <c r="F98" s="18">
        <v>393383.39</v>
      </c>
    </row>
    <row r="99" spans="2:6" ht="18" x14ac:dyDescent="0.2">
      <c r="B99" s="16">
        <v>97</v>
      </c>
      <c r="C99" s="18">
        <v>2083.25</v>
      </c>
      <c r="D99" s="18">
        <v>1024.98</v>
      </c>
      <c r="E99" s="18">
        <v>1058.27</v>
      </c>
      <c r="F99" s="18">
        <v>392358.41</v>
      </c>
    </row>
    <row r="100" spans="2:6" ht="18" x14ac:dyDescent="0.2">
      <c r="B100" s="16">
        <v>98</v>
      </c>
      <c r="C100" s="18">
        <v>2083.25</v>
      </c>
      <c r="D100" s="18">
        <v>1027.74</v>
      </c>
      <c r="E100" s="18">
        <v>1055.51</v>
      </c>
      <c r="F100" s="18">
        <v>391330.67</v>
      </c>
    </row>
    <row r="101" spans="2:6" ht="18" x14ac:dyDescent="0.2">
      <c r="B101" s="16">
        <v>99</v>
      </c>
      <c r="C101" s="18">
        <v>2083.25</v>
      </c>
      <c r="D101" s="18">
        <v>1030.5</v>
      </c>
      <c r="E101" s="18">
        <v>1052.75</v>
      </c>
      <c r="F101" s="18">
        <v>390300.17</v>
      </c>
    </row>
    <row r="102" spans="2:6" ht="18" x14ac:dyDescent="0.2">
      <c r="B102" s="16">
        <v>100</v>
      </c>
      <c r="C102" s="18">
        <v>2083.25</v>
      </c>
      <c r="D102" s="18">
        <v>1033.27</v>
      </c>
      <c r="E102" s="18">
        <v>1049.98</v>
      </c>
      <c r="F102" s="18">
        <v>389266.9</v>
      </c>
    </row>
    <row r="103" spans="2:6" ht="18" x14ac:dyDescent="0.2">
      <c r="B103" s="16">
        <v>101</v>
      </c>
      <c r="C103" s="18">
        <v>2083.25</v>
      </c>
      <c r="D103" s="18">
        <v>1036.05</v>
      </c>
      <c r="E103" s="18">
        <v>1047.2</v>
      </c>
      <c r="F103" s="18">
        <v>388230.85</v>
      </c>
    </row>
    <row r="104" spans="2:6" ht="18" x14ac:dyDescent="0.2">
      <c r="B104" s="16">
        <v>102</v>
      </c>
      <c r="C104" s="18">
        <v>2083.25</v>
      </c>
      <c r="D104" s="18">
        <v>1038.8399999999999</v>
      </c>
      <c r="E104" s="18">
        <v>1044.4100000000001</v>
      </c>
      <c r="F104" s="18">
        <v>387192.01</v>
      </c>
    </row>
    <row r="105" spans="2:6" ht="18" x14ac:dyDescent="0.2">
      <c r="B105" s="16">
        <v>103</v>
      </c>
      <c r="C105" s="18">
        <v>2083.25</v>
      </c>
      <c r="D105" s="18">
        <v>1041.6400000000001</v>
      </c>
      <c r="E105" s="18">
        <v>1041.6099999999999</v>
      </c>
      <c r="F105" s="18">
        <v>386150.37</v>
      </c>
    </row>
    <row r="106" spans="2:6" ht="18" x14ac:dyDescent="0.2">
      <c r="B106" s="16">
        <v>104</v>
      </c>
      <c r="C106" s="18">
        <v>2083.25</v>
      </c>
      <c r="D106" s="18">
        <v>1044.44</v>
      </c>
      <c r="E106" s="18">
        <v>1038.81</v>
      </c>
      <c r="F106" s="18">
        <v>385105.93</v>
      </c>
    </row>
    <row r="107" spans="2:6" ht="18" x14ac:dyDescent="0.2">
      <c r="B107" s="16">
        <v>105</v>
      </c>
      <c r="C107" s="18">
        <v>2083.25</v>
      </c>
      <c r="D107" s="18">
        <v>1047.25</v>
      </c>
      <c r="E107" s="18">
        <v>1036</v>
      </c>
      <c r="F107" s="18">
        <v>384058.68</v>
      </c>
    </row>
    <row r="108" spans="2:6" ht="18" x14ac:dyDescent="0.2">
      <c r="B108" s="16">
        <v>106</v>
      </c>
      <c r="C108" s="18">
        <v>2083.25</v>
      </c>
      <c r="D108" s="18">
        <v>1050.06</v>
      </c>
      <c r="E108" s="18">
        <v>1033.19</v>
      </c>
      <c r="F108" s="18">
        <v>383008.62</v>
      </c>
    </row>
    <row r="109" spans="2:6" ht="18" x14ac:dyDescent="0.2">
      <c r="B109" s="16">
        <v>107</v>
      </c>
      <c r="C109" s="18">
        <v>2083.25</v>
      </c>
      <c r="D109" s="18">
        <v>1052.8900000000001</v>
      </c>
      <c r="E109" s="18">
        <v>1030.3599999999999</v>
      </c>
      <c r="F109" s="18">
        <v>381955.73</v>
      </c>
    </row>
    <row r="110" spans="2:6" ht="18" x14ac:dyDescent="0.2">
      <c r="B110" s="16">
        <v>108</v>
      </c>
      <c r="C110" s="18">
        <v>2083.25</v>
      </c>
      <c r="D110" s="18">
        <v>1055.72</v>
      </c>
      <c r="E110" s="18">
        <v>1027.53</v>
      </c>
      <c r="F110" s="18">
        <v>380900.01</v>
      </c>
    </row>
    <row r="111" spans="2:6" ht="18" x14ac:dyDescent="0.2">
      <c r="B111" s="16">
        <v>109</v>
      </c>
      <c r="C111" s="18">
        <v>2083.25</v>
      </c>
      <c r="D111" s="18">
        <v>1058.56</v>
      </c>
      <c r="E111" s="18">
        <v>1024.69</v>
      </c>
      <c r="F111" s="18">
        <v>379841.45</v>
      </c>
    </row>
    <row r="112" spans="2:6" ht="18" x14ac:dyDescent="0.2">
      <c r="B112" s="16">
        <v>110</v>
      </c>
      <c r="C112" s="18">
        <v>2083.25</v>
      </c>
      <c r="D112" s="18">
        <v>1061.4100000000001</v>
      </c>
      <c r="E112" s="18">
        <v>1021.84</v>
      </c>
      <c r="F112" s="18">
        <v>378780.04</v>
      </c>
    </row>
    <row r="113" spans="2:6" ht="18" x14ac:dyDescent="0.2">
      <c r="B113" s="16">
        <v>111</v>
      </c>
      <c r="C113" s="18">
        <v>2083.25</v>
      </c>
      <c r="D113" s="18">
        <v>1064.27</v>
      </c>
      <c r="E113" s="18">
        <v>1018.98</v>
      </c>
      <c r="F113" s="18">
        <v>377715.77</v>
      </c>
    </row>
    <row r="114" spans="2:6" ht="18" x14ac:dyDescent="0.2">
      <c r="B114" s="16">
        <v>112</v>
      </c>
      <c r="C114" s="18">
        <v>2083.25</v>
      </c>
      <c r="D114" s="18">
        <v>1067.1300000000001</v>
      </c>
      <c r="E114" s="18">
        <v>1016.12</v>
      </c>
      <c r="F114" s="18">
        <v>376648.64</v>
      </c>
    </row>
    <row r="115" spans="2:6" ht="18" x14ac:dyDescent="0.2">
      <c r="B115" s="16">
        <v>113</v>
      </c>
      <c r="C115" s="18">
        <v>2083.25</v>
      </c>
      <c r="D115" s="18">
        <v>1070</v>
      </c>
      <c r="E115" s="18">
        <v>1013.25</v>
      </c>
      <c r="F115" s="18">
        <v>375578.64</v>
      </c>
    </row>
    <row r="116" spans="2:6" ht="18" x14ac:dyDescent="0.2">
      <c r="B116" s="16">
        <v>114</v>
      </c>
      <c r="C116" s="18">
        <v>2083.25</v>
      </c>
      <c r="D116" s="18">
        <v>1072.8800000000001</v>
      </c>
      <c r="E116" s="18">
        <v>1010.37</v>
      </c>
      <c r="F116" s="18">
        <v>374505.76</v>
      </c>
    </row>
    <row r="117" spans="2:6" ht="18" x14ac:dyDescent="0.2">
      <c r="B117" s="16">
        <v>115</v>
      </c>
      <c r="C117" s="18">
        <v>2083.25</v>
      </c>
      <c r="D117" s="18">
        <v>1075.76</v>
      </c>
      <c r="E117" s="18">
        <v>1007.49</v>
      </c>
      <c r="F117" s="18">
        <v>373430</v>
      </c>
    </row>
    <row r="118" spans="2:6" ht="18" x14ac:dyDescent="0.2">
      <c r="B118" s="16">
        <v>116</v>
      </c>
      <c r="C118" s="18">
        <v>2083.25</v>
      </c>
      <c r="D118" s="18">
        <v>1078.6600000000001</v>
      </c>
      <c r="E118" s="18">
        <v>1004.59</v>
      </c>
      <c r="F118" s="18">
        <v>372351.34</v>
      </c>
    </row>
    <row r="119" spans="2:6" ht="18" x14ac:dyDescent="0.2">
      <c r="B119" s="16">
        <v>117</v>
      </c>
      <c r="C119" s="18">
        <v>2083.25</v>
      </c>
      <c r="D119" s="18">
        <v>1081.56</v>
      </c>
      <c r="E119" s="18">
        <v>1001.69</v>
      </c>
      <c r="F119" s="18">
        <v>371269.78</v>
      </c>
    </row>
    <row r="120" spans="2:6" ht="18" x14ac:dyDescent="0.2">
      <c r="B120" s="16">
        <v>118</v>
      </c>
      <c r="C120" s="18">
        <v>2083.25</v>
      </c>
      <c r="D120" s="18">
        <v>1084.47</v>
      </c>
      <c r="E120" s="18">
        <v>998.78</v>
      </c>
      <c r="F120" s="18">
        <v>370185.31</v>
      </c>
    </row>
    <row r="121" spans="2:6" ht="18" x14ac:dyDescent="0.2">
      <c r="B121" s="16">
        <v>119</v>
      </c>
      <c r="C121" s="18">
        <v>2083.25</v>
      </c>
      <c r="D121" s="18">
        <v>1087.3900000000001</v>
      </c>
      <c r="E121" s="18">
        <v>995.86</v>
      </c>
      <c r="F121" s="18">
        <v>369097.92</v>
      </c>
    </row>
    <row r="122" spans="2:6" ht="18" x14ac:dyDescent="0.2">
      <c r="B122" s="16">
        <v>120</v>
      </c>
      <c r="C122" s="18">
        <v>2083.25</v>
      </c>
      <c r="D122" s="18">
        <v>1090.31</v>
      </c>
      <c r="E122" s="18">
        <v>992.94</v>
      </c>
      <c r="F122" s="18">
        <v>368007.61</v>
      </c>
    </row>
    <row r="123" spans="2:6" ht="18" x14ac:dyDescent="0.2">
      <c r="B123" s="16">
        <v>121</v>
      </c>
      <c r="C123" s="18">
        <v>2083.25</v>
      </c>
      <c r="D123" s="18">
        <v>1093.24</v>
      </c>
      <c r="E123" s="18">
        <v>990.01</v>
      </c>
      <c r="F123" s="18">
        <v>366914.37</v>
      </c>
    </row>
    <row r="124" spans="2:6" ht="18" x14ac:dyDescent="0.2">
      <c r="B124" s="16">
        <v>122</v>
      </c>
      <c r="C124" s="18">
        <v>2083.25</v>
      </c>
      <c r="D124" s="18">
        <v>1096.19</v>
      </c>
      <c r="E124" s="18">
        <v>987.06</v>
      </c>
      <c r="F124" s="18">
        <v>365818.18</v>
      </c>
    </row>
    <row r="125" spans="2:6" ht="18" x14ac:dyDescent="0.2">
      <c r="B125" s="16">
        <v>123</v>
      </c>
      <c r="C125" s="18">
        <v>2083.25</v>
      </c>
      <c r="D125" s="18">
        <v>1099.1300000000001</v>
      </c>
      <c r="E125" s="18">
        <v>984.12</v>
      </c>
      <c r="F125" s="18">
        <v>364719.05</v>
      </c>
    </row>
    <row r="126" spans="2:6" ht="18" x14ac:dyDescent="0.2">
      <c r="B126" s="16">
        <v>124</v>
      </c>
      <c r="C126" s="18">
        <v>2083.25</v>
      </c>
      <c r="D126" s="18">
        <v>1102.0899999999999</v>
      </c>
      <c r="E126" s="18">
        <v>981.16</v>
      </c>
      <c r="F126" s="18">
        <v>363616.96</v>
      </c>
    </row>
    <row r="127" spans="2:6" ht="18" x14ac:dyDescent="0.2">
      <c r="B127" s="16">
        <v>125</v>
      </c>
      <c r="C127" s="18">
        <v>2083.25</v>
      </c>
      <c r="D127" s="18">
        <v>1105.06</v>
      </c>
      <c r="E127" s="18">
        <v>978.19</v>
      </c>
      <c r="F127" s="18">
        <v>362511.9</v>
      </c>
    </row>
    <row r="128" spans="2:6" ht="18" x14ac:dyDescent="0.2">
      <c r="B128" s="16">
        <v>126</v>
      </c>
      <c r="C128" s="18">
        <v>2083.25</v>
      </c>
      <c r="D128" s="18">
        <v>1108.03</v>
      </c>
      <c r="E128" s="18">
        <v>975.22</v>
      </c>
      <c r="F128" s="18">
        <v>361403.87</v>
      </c>
    </row>
    <row r="129" spans="2:6" ht="18" x14ac:dyDescent="0.2">
      <c r="B129" s="16">
        <v>127</v>
      </c>
      <c r="C129" s="18">
        <v>2083.25</v>
      </c>
      <c r="D129" s="18">
        <v>1111.01</v>
      </c>
      <c r="E129" s="18">
        <v>972.24</v>
      </c>
      <c r="F129" s="18">
        <v>360292.86</v>
      </c>
    </row>
    <row r="130" spans="2:6" ht="18" x14ac:dyDescent="0.2">
      <c r="B130" s="16">
        <v>128</v>
      </c>
      <c r="C130" s="18">
        <v>2083.25</v>
      </c>
      <c r="D130" s="18">
        <v>1114</v>
      </c>
      <c r="E130" s="18">
        <v>969.25</v>
      </c>
      <c r="F130" s="18">
        <v>359178.86</v>
      </c>
    </row>
    <row r="131" spans="2:6" ht="18" x14ac:dyDescent="0.2">
      <c r="B131" s="16">
        <v>129</v>
      </c>
      <c r="C131" s="18">
        <v>2083.25</v>
      </c>
      <c r="D131" s="18">
        <v>1117</v>
      </c>
      <c r="E131" s="18">
        <v>966.25</v>
      </c>
      <c r="F131" s="18">
        <v>358061.86</v>
      </c>
    </row>
    <row r="132" spans="2:6" ht="18" x14ac:dyDescent="0.2">
      <c r="B132" s="16">
        <v>130</v>
      </c>
      <c r="C132" s="18">
        <v>2083.25</v>
      </c>
      <c r="D132" s="18">
        <v>1120</v>
      </c>
      <c r="E132" s="18">
        <v>963.25</v>
      </c>
      <c r="F132" s="18">
        <v>356941.86</v>
      </c>
    </row>
    <row r="133" spans="2:6" ht="18" x14ac:dyDescent="0.2">
      <c r="B133" s="16">
        <v>131</v>
      </c>
      <c r="C133" s="18">
        <v>2083.25</v>
      </c>
      <c r="D133" s="18">
        <v>1123.01</v>
      </c>
      <c r="E133" s="18">
        <v>960.24</v>
      </c>
      <c r="F133" s="18">
        <v>355818.85</v>
      </c>
    </row>
    <row r="134" spans="2:6" ht="18" x14ac:dyDescent="0.2">
      <c r="B134" s="16">
        <v>132</v>
      </c>
      <c r="C134" s="18">
        <v>2083.25</v>
      </c>
      <c r="D134" s="18">
        <v>1126.03</v>
      </c>
      <c r="E134" s="18">
        <v>957.22</v>
      </c>
      <c r="F134" s="18">
        <v>354692.82</v>
      </c>
    </row>
    <row r="135" spans="2:6" ht="18" x14ac:dyDescent="0.2">
      <c r="B135" s="16">
        <v>133</v>
      </c>
      <c r="C135" s="18">
        <v>2083.25</v>
      </c>
      <c r="D135" s="18">
        <v>1129.06</v>
      </c>
      <c r="E135" s="18">
        <v>954.19</v>
      </c>
      <c r="F135" s="18">
        <v>353563.76</v>
      </c>
    </row>
    <row r="136" spans="2:6" ht="18" x14ac:dyDescent="0.2">
      <c r="B136" s="16">
        <v>134</v>
      </c>
      <c r="C136" s="18">
        <v>2083.25</v>
      </c>
      <c r="D136" s="18">
        <v>1132.0999999999999</v>
      </c>
      <c r="E136" s="18">
        <v>951.15</v>
      </c>
      <c r="F136" s="18">
        <v>352431.66</v>
      </c>
    </row>
    <row r="137" spans="2:6" ht="18" x14ac:dyDescent="0.2">
      <c r="B137" s="16">
        <v>135</v>
      </c>
      <c r="C137" s="18">
        <v>2083.25</v>
      </c>
      <c r="D137" s="18">
        <v>1135.1500000000001</v>
      </c>
      <c r="E137" s="18">
        <v>948.1</v>
      </c>
      <c r="F137" s="18">
        <v>351296.51</v>
      </c>
    </row>
    <row r="138" spans="2:6" ht="18" x14ac:dyDescent="0.2">
      <c r="B138" s="16">
        <v>136</v>
      </c>
      <c r="C138" s="18">
        <v>2083.25</v>
      </c>
      <c r="D138" s="18">
        <v>1138.2</v>
      </c>
      <c r="E138" s="18">
        <v>945.05</v>
      </c>
      <c r="F138" s="18">
        <v>350158.31</v>
      </c>
    </row>
    <row r="139" spans="2:6" ht="18" x14ac:dyDescent="0.2">
      <c r="B139" s="16">
        <v>137</v>
      </c>
      <c r="C139" s="18">
        <v>2083.25</v>
      </c>
      <c r="D139" s="18">
        <v>1141.26</v>
      </c>
      <c r="E139" s="18">
        <v>941.99</v>
      </c>
      <c r="F139" s="18">
        <v>349017.05</v>
      </c>
    </row>
    <row r="140" spans="2:6" ht="18" x14ac:dyDescent="0.2">
      <c r="B140" s="16">
        <v>138</v>
      </c>
      <c r="C140" s="18">
        <v>2083.25</v>
      </c>
      <c r="D140" s="18">
        <v>1144.33</v>
      </c>
      <c r="E140" s="18">
        <v>938.92</v>
      </c>
      <c r="F140" s="18">
        <v>347872.72</v>
      </c>
    </row>
    <row r="141" spans="2:6" ht="18" x14ac:dyDescent="0.2">
      <c r="B141" s="16">
        <v>139</v>
      </c>
      <c r="C141" s="18">
        <v>2083.25</v>
      </c>
      <c r="D141" s="18">
        <v>1147.4100000000001</v>
      </c>
      <c r="E141" s="18">
        <v>935.84</v>
      </c>
      <c r="F141" s="18">
        <v>346725.31</v>
      </c>
    </row>
    <row r="142" spans="2:6" ht="18" x14ac:dyDescent="0.2">
      <c r="B142" s="16">
        <v>140</v>
      </c>
      <c r="C142" s="18">
        <v>2083.25</v>
      </c>
      <c r="D142" s="18">
        <v>1150.5</v>
      </c>
      <c r="E142" s="18">
        <v>932.75</v>
      </c>
      <c r="F142" s="18">
        <v>345574.81</v>
      </c>
    </row>
    <row r="143" spans="2:6" ht="18" x14ac:dyDescent="0.2">
      <c r="B143" s="16">
        <v>141</v>
      </c>
      <c r="C143" s="18">
        <v>2083.25</v>
      </c>
      <c r="D143" s="18">
        <v>1153.5899999999999</v>
      </c>
      <c r="E143" s="18">
        <v>929.66</v>
      </c>
      <c r="F143" s="18">
        <v>344421.22</v>
      </c>
    </row>
    <row r="144" spans="2:6" ht="18" x14ac:dyDescent="0.2">
      <c r="B144" s="16">
        <v>142</v>
      </c>
      <c r="C144" s="18">
        <v>2083.25</v>
      </c>
      <c r="D144" s="18">
        <v>1156.7</v>
      </c>
      <c r="E144" s="18">
        <v>926.55</v>
      </c>
      <c r="F144" s="18">
        <v>343264.52</v>
      </c>
    </row>
    <row r="145" spans="2:6" ht="18" x14ac:dyDescent="0.2">
      <c r="B145" s="16">
        <v>143</v>
      </c>
      <c r="C145" s="18">
        <v>2083.25</v>
      </c>
      <c r="D145" s="18">
        <v>1159.81</v>
      </c>
      <c r="E145" s="18">
        <v>923.44</v>
      </c>
      <c r="F145" s="18">
        <v>342104.71</v>
      </c>
    </row>
    <row r="146" spans="2:6" ht="18" x14ac:dyDescent="0.2">
      <c r="B146" s="16">
        <v>144</v>
      </c>
      <c r="C146" s="18">
        <v>2083.25</v>
      </c>
      <c r="D146" s="18">
        <v>1162.93</v>
      </c>
      <c r="E146" s="18">
        <v>920.32</v>
      </c>
      <c r="F146" s="18">
        <v>340941.78</v>
      </c>
    </row>
    <row r="147" spans="2:6" ht="18" x14ac:dyDescent="0.2">
      <c r="B147" s="16">
        <v>145</v>
      </c>
      <c r="C147" s="18">
        <v>2083.25</v>
      </c>
      <c r="D147" s="18">
        <v>1166.06</v>
      </c>
      <c r="E147" s="18">
        <v>917.19</v>
      </c>
      <c r="F147" s="18">
        <v>339775.72</v>
      </c>
    </row>
    <row r="148" spans="2:6" ht="18" x14ac:dyDescent="0.2">
      <c r="B148" s="16">
        <v>146</v>
      </c>
      <c r="C148" s="18">
        <v>2083.25</v>
      </c>
      <c r="D148" s="18">
        <v>1169.19</v>
      </c>
      <c r="E148" s="18">
        <v>914.06</v>
      </c>
      <c r="F148" s="18">
        <v>338606.53</v>
      </c>
    </row>
    <row r="149" spans="2:6" ht="18" x14ac:dyDescent="0.2">
      <c r="B149" s="16">
        <v>147</v>
      </c>
      <c r="C149" s="18">
        <v>2083.25</v>
      </c>
      <c r="D149" s="18">
        <v>1172.3399999999999</v>
      </c>
      <c r="E149" s="18">
        <v>910.91</v>
      </c>
      <c r="F149" s="18">
        <v>337434.19</v>
      </c>
    </row>
    <row r="150" spans="2:6" ht="18" x14ac:dyDescent="0.2">
      <c r="B150" s="16">
        <v>148</v>
      </c>
      <c r="C150" s="18">
        <v>2083.25</v>
      </c>
      <c r="D150" s="18">
        <v>1175.49</v>
      </c>
      <c r="E150" s="18">
        <v>907.76</v>
      </c>
      <c r="F150" s="18">
        <v>336258.7</v>
      </c>
    </row>
    <row r="151" spans="2:6" ht="18" x14ac:dyDescent="0.2">
      <c r="B151" s="16">
        <v>149</v>
      </c>
      <c r="C151" s="18">
        <v>2083.25</v>
      </c>
      <c r="D151" s="18">
        <v>1178.6600000000001</v>
      </c>
      <c r="E151" s="18">
        <v>904.59</v>
      </c>
      <c r="F151" s="18">
        <v>335080.03999999998</v>
      </c>
    </row>
    <row r="152" spans="2:6" ht="18" x14ac:dyDescent="0.2">
      <c r="B152" s="16">
        <v>150</v>
      </c>
      <c r="C152" s="18">
        <v>2083.25</v>
      </c>
      <c r="D152" s="18">
        <v>1181.83</v>
      </c>
      <c r="E152" s="18">
        <v>901.42</v>
      </c>
      <c r="F152" s="18">
        <v>333898.21000000002</v>
      </c>
    </row>
    <row r="153" spans="2:6" ht="18" x14ac:dyDescent="0.2">
      <c r="B153" s="16">
        <v>151</v>
      </c>
      <c r="C153" s="18">
        <v>2083.25</v>
      </c>
      <c r="D153" s="18">
        <v>1185.01</v>
      </c>
      <c r="E153" s="18">
        <v>898.24</v>
      </c>
      <c r="F153" s="18">
        <v>332713.2</v>
      </c>
    </row>
    <row r="154" spans="2:6" ht="18" x14ac:dyDescent="0.2">
      <c r="B154" s="16">
        <v>152</v>
      </c>
      <c r="C154" s="18">
        <v>2083.25</v>
      </c>
      <c r="D154" s="18">
        <v>1188.19</v>
      </c>
      <c r="E154" s="18">
        <v>895.06</v>
      </c>
      <c r="F154" s="18">
        <v>331525.01</v>
      </c>
    </row>
    <row r="155" spans="2:6" ht="18" x14ac:dyDescent="0.2">
      <c r="B155" s="16">
        <v>153</v>
      </c>
      <c r="C155" s="18">
        <v>2083.25</v>
      </c>
      <c r="D155" s="18">
        <v>1191.3900000000001</v>
      </c>
      <c r="E155" s="18">
        <v>891.86</v>
      </c>
      <c r="F155" s="18">
        <v>330333.62</v>
      </c>
    </row>
    <row r="156" spans="2:6" ht="18" x14ac:dyDescent="0.2">
      <c r="B156" s="16">
        <v>154</v>
      </c>
      <c r="C156" s="18">
        <v>2083.25</v>
      </c>
      <c r="D156" s="18">
        <v>1194.5899999999999</v>
      </c>
      <c r="E156" s="18">
        <v>888.66</v>
      </c>
      <c r="F156" s="18">
        <v>329139.03000000003</v>
      </c>
    </row>
    <row r="157" spans="2:6" ht="18" x14ac:dyDescent="0.2">
      <c r="B157" s="16">
        <v>155</v>
      </c>
      <c r="C157" s="18">
        <v>2083.25</v>
      </c>
      <c r="D157" s="18">
        <v>1197.81</v>
      </c>
      <c r="E157" s="18">
        <v>885.44</v>
      </c>
      <c r="F157" s="18">
        <v>327941.21999999997</v>
      </c>
    </row>
    <row r="158" spans="2:6" ht="18" x14ac:dyDescent="0.2">
      <c r="B158" s="16">
        <v>156</v>
      </c>
      <c r="C158" s="18">
        <v>2083.25</v>
      </c>
      <c r="D158" s="18">
        <v>1201.03</v>
      </c>
      <c r="E158" s="18">
        <v>882.22</v>
      </c>
      <c r="F158" s="18">
        <v>326740.19</v>
      </c>
    </row>
    <row r="159" spans="2:6" ht="18" x14ac:dyDescent="0.2">
      <c r="B159" s="16">
        <v>157</v>
      </c>
      <c r="C159" s="18">
        <v>2083.25</v>
      </c>
      <c r="D159" s="18">
        <v>1204.26</v>
      </c>
      <c r="E159" s="18">
        <v>878.99</v>
      </c>
      <c r="F159" s="18">
        <v>325535.93</v>
      </c>
    </row>
    <row r="160" spans="2:6" ht="18" x14ac:dyDescent="0.2">
      <c r="B160" s="16">
        <v>158</v>
      </c>
      <c r="C160" s="18">
        <v>2083.25</v>
      </c>
      <c r="D160" s="18">
        <v>1207.5</v>
      </c>
      <c r="E160" s="18">
        <v>875.75</v>
      </c>
      <c r="F160" s="18">
        <v>324328.43</v>
      </c>
    </row>
    <row r="161" spans="2:6" ht="18" x14ac:dyDescent="0.2">
      <c r="B161" s="16">
        <v>159</v>
      </c>
      <c r="C161" s="18">
        <v>2083.25</v>
      </c>
      <c r="D161" s="18">
        <v>1210.75</v>
      </c>
      <c r="E161" s="18">
        <v>872.5</v>
      </c>
      <c r="F161" s="18">
        <v>323117.68</v>
      </c>
    </row>
    <row r="162" spans="2:6" ht="18" x14ac:dyDescent="0.2">
      <c r="B162" s="16">
        <v>160</v>
      </c>
      <c r="C162" s="18">
        <v>2083.25</v>
      </c>
      <c r="D162" s="18">
        <v>1214.01</v>
      </c>
      <c r="E162" s="18">
        <v>869.24</v>
      </c>
      <c r="F162" s="18">
        <v>321903.67</v>
      </c>
    </row>
    <row r="163" spans="2:6" ht="18" x14ac:dyDescent="0.2">
      <c r="B163" s="16">
        <v>161</v>
      </c>
      <c r="C163" s="18">
        <v>2083.25</v>
      </c>
      <c r="D163" s="18">
        <v>1217.27</v>
      </c>
      <c r="E163" s="18">
        <v>865.98</v>
      </c>
      <c r="F163" s="18">
        <v>320686.40000000002</v>
      </c>
    </row>
    <row r="164" spans="2:6" ht="18" x14ac:dyDescent="0.2">
      <c r="B164" s="16">
        <v>162</v>
      </c>
      <c r="C164" s="18">
        <v>2083.25</v>
      </c>
      <c r="D164" s="18">
        <v>1220.55</v>
      </c>
      <c r="E164" s="18">
        <v>862.7</v>
      </c>
      <c r="F164" s="18">
        <v>319465.84999999998</v>
      </c>
    </row>
    <row r="165" spans="2:6" ht="18" x14ac:dyDescent="0.2">
      <c r="B165" s="16">
        <v>163</v>
      </c>
      <c r="C165" s="18">
        <v>2083.25</v>
      </c>
      <c r="D165" s="18">
        <v>1223.83</v>
      </c>
      <c r="E165" s="18">
        <v>859.42</v>
      </c>
      <c r="F165" s="18">
        <v>318242.02</v>
      </c>
    </row>
    <row r="166" spans="2:6" ht="18" x14ac:dyDescent="0.2">
      <c r="B166" s="16">
        <v>164</v>
      </c>
      <c r="C166" s="18">
        <v>2083.25</v>
      </c>
      <c r="D166" s="18">
        <v>1227.1199999999999</v>
      </c>
      <c r="E166" s="18">
        <v>856.13</v>
      </c>
      <c r="F166" s="18">
        <v>317014.90000000002</v>
      </c>
    </row>
    <row r="167" spans="2:6" ht="18" x14ac:dyDescent="0.2">
      <c r="B167" s="16">
        <v>165</v>
      </c>
      <c r="C167" s="18">
        <v>2083.25</v>
      </c>
      <c r="D167" s="18">
        <v>1230.42</v>
      </c>
      <c r="E167" s="18">
        <v>852.83</v>
      </c>
      <c r="F167" s="18">
        <v>315784.48</v>
      </c>
    </row>
    <row r="168" spans="2:6" ht="18" x14ac:dyDescent="0.2">
      <c r="B168" s="16">
        <v>166</v>
      </c>
      <c r="C168" s="18">
        <v>2083.25</v>
      </c>
      <c r="D168" s="18">
        <v>1233.73</v>
      </c>
      <c r="E168" s="18">
        <v>849.52</v>
      </c>
      <c r="F168" s="18">
        <v>314550.75</v>
      </c>
    </row>
    <row r="169" spans="2:6" ht="18" x14ac:dyDescent="0.2">
      <c r="B169" s="16">
        <v>167</v>
      </c>
      <c r="C169" s="18">
        <v>2083.25</v>
      </c>
      <c r="D169" s="18">
        <v>1237.05</v>
      </c>
      <c r="E169" s="18">
        <v>846.2</v>
      </c>
      <c r="F169" s="18">
        <v>313313.7</v>
      </c>
    </row>
    <row r="170" spans="2:6" ht="18" x14ac:dyDescent="0.2">
      <c r="B170" s="16">
        <v>168</v>
      </c>
      <c r="C170" s="18">
        <v>2083.25</v>
      </c>
      <c r="D170" s="18">
        <v>1240.3800000000001</v>
      </c>
      <c r="E170" s="18">
        <v>842.87</v>
      </c>
      <c r="F170" s="18">
        <v>312073.32</v>
      </c>
    </row>
    <row r="171" spans="2:6" ht="18" x14ac:dyDescent="0.2">
      <c r="B171" s="16">
        <v>169</v>
      </c>
      <c r="C171" s="18">
        <v>2083.25</v>
      </c>
      <c r="D171" s="18">
        <v>1243.72</v>
      </c>
      <c r="E171" s="18">
        <v>839.53</v>
      </c>
      <c r="F171" s="18">
        <v>310829.59999999998</v>
      </c>
    </row>
    <row r="172" spans="2:6" ht="18" x14ac:dyDescent="0.2">
      <c r="B172" s="16">
        <v>170</v>
      </c>
      <c r="C172" s="18">
        <v>2083.25</v>
      </c>
      <c r="D172" s="18">
        <v>1247.06</v>
      </c>
      <c r="E172" s="18">
        <v>836.19</v>
      </c>
      <c r="F172" s="18">
        <v>309582.53999999998</v>
      </c>
    </row>
    <row r="173" spans="2:6" ht="18" x14ac:dyDescent="0.2">
      <c r="B173" s="16">
        <v>171</v>
      </c>
      <c r="C173" s="18">
        <v>2083.25</v>
      </c>
      <c r="D173" s="18">
        <v>1250.42</v>
      </c>
      <c r="E173" s="18">
        <v>832.83</v>
      </c>
      <c r="F173" s="18">
        <v>308332.12</v>
      </c>
    </row>
    <row r="174" spans="2:6" ht="18" x14ac:dyDescent="0.2">
      <c r="B174" s="16">
        <v>172</v>
      </c>
      <c r="C174" s="18">
        <v>2083.25</v>
      </c>
      <c r="D174" s="18">
        <v>1253.78</v>
      </c>
      <c r="E174" s="18">
        <v>829.47</v>
      </c>
      <c r="F174" s="18">
        <v>307078.34000000003</v>
      </c>
    </row>
    <row r="175" spans="2:6" ht="18" x14ac:dyDescent="0.2">
      <c r="B175" s="16">
        <v>173</v>
      </c>
      <c r="C175" s="18">
        <v>2083.25</v>
      </c>
      <c r="D175" s="18">
        <v>1257.1600000000001</v>
      </c>
      <c r="E175" s="18">
        <v>826.09</v>
      </c>
      <c r="F175" s="18">
        <v>305821.18</v>
      </c>
    </row>
    <row r="176" spans="2:6" ht="18" x14ac:dyDescent="0.2">
      <c r="B176" s="16">
        <v>174</v>
      </c>
      <c r="C176" s="18">
        <v>2083.25</v>
      </c>
      <c r="D176" s="18">
        <v>1260.54</v>
      </c>
      <c r="E176" s="18">
        <v>822.71</v>
      </c>
      <c r="F176" s="18">
        <v>304560.64000000001</v>
      </c>
    </row>
    <row r="177" spans="2:6" ht="18" x14ac:dyDescent="0.2">
      <c r="B177" s="16">
        <v>175</v>
      </c>
      <c r="C177" s="18">
        <v>2083.25</v>
      </c>
      <c r="D177" s="18">
        <v>1263.93</v>
      </c>
      <c r="E177" s="18">
        <v>819.32</v>
      </c>
      <c r="F177" s="18">
        <v>303296.71000000002</v>
      </c>
    </row>
    <row r="178" spans="2:6" ht="18" x14ac:dyDescent="0.2">
      <c r="B178" s="16">
        <v>176</v>
      </c>
      <c r="C178" s="18">
        <v>2083.25</v>
      </c>
      <c r="D178" s="18">
        <v>1267.33</v>
      </c>
      <c r="E178" s="18">
        <v>815.92</v>
      </c>
      <c r="F178" s="18">
        <v>302029.38</v>
      </c>
    </row>
    <row r="179" spans="2:6" ht="18" x14ac:dyDescent="0.2">
      <c r="B179" s="16">
        <v>177</v>
      </c>
      <c r="C179" s="18">
        <v>2083.25</v>
      </c>
      <c r="D179" s="18">
        <v>1270.74</v>
      </c>
      <c r="E179" s="18">
        <v>812.51</v>
      </c>
      <c r="F179" s="18">
        <v>300758.64</v>
      </c>
    </row>
    <row r="180" spans="2:6" ht="18" x14ac:dyDescent="0.2">
      <c r="B180" s="16">
        <v>178</v>
      </c>
      <c r="C180" s="18">
        <v>2083.25</v>
      </c>
      <c r="D180" s="18">
        <v>1274.1600000000001</v>
      </c>
      <c r="E180" s="18">
        <v>809.09</v>
      </c>
      <c r="F180" s="18">
        <v>299484.48</v>
      </c>
    </row>
    <row r="181" spans="2:6" ht="18" x14ac:dyDescent="0.2">
      <c r="B181" s="16">
        <v>179</v>
      </c>
      <c r="C181" s="18">
        <v>2083.25</v>
      </c>
      <c r="D181" s="18">
        <v>1277.58</v>
      </c>
      <c r="E181" s="18">
        <v>805.67</v>
      </c>
      <c r="F181" s="18">
        <v>298206.90000000002</v>
      </c>
    </row>
    <row r="182" spans="2:6" ht="18" x14ac:dyDescent="0.2">
      <c r="B182" s="16">
        <v>180</v>
      </c>
      <c r="C182" s="18">
        <v>2083.25</v>
      </c>
      <c r="D182" s="18">
        <v>1281.02</v>
      </c>
      <c r="E182" s="18">
        <v>802.23</v>
      </c>
      <c r="F182" s="18">
        <v>296925.88</v>
      </c>
    </row>
    <row r="183" spans="2:6" ht="18" x14ac:dyDescent="0.2">
      <c r="B183" s="16">
        <v>181</v>
      </c>
      <c r="C183" s="18">
        <v>2083.25</v>
      </c>
      <c r="D183" s="18">
        <v>1284.47</v>
      </c>
      <c r="E183" s="18">
        <v>798.78</v>
      </c>
      <c r="F183" s="18">
        <v>295641.40999999997</v>
      </c>
    </row>
    <row r="184" spans="2:6" ht="18" x14ac:dyDescent="0.2">
      <c r="B184" s="16">
        <v>182</v>
      </c>
      <c r="C184" s="18">
        <v>2083.25</v>
      </c>
      <c r="D184" s="18">
        <v>1287.92</v>
      </c>
      <c r="E184" s="18">
        <v>795.33</v>
      </c>
      <c r="F184" s="18">
        <v>294353.49</v>
      </c>
    </row>
    <row r="185" spans="2:6" ht="18" x14ac:dyDescent="0.2">
      <c r="B185" s="16">
        <v>183</v>
      </c>
      <c r="C185" s="18">
        <v>2083.25</v>
      </c>
      <c r="D185" s="18">
        <v>1291.3900000000001</v>
      </c>
      <c r="E185" s="18">
        <v>791.86</v>
      </c>
      <c r="F185" s="18">
        <v>293062.09999999998</v>
      </c>
    </row>
    <row r="186" spans="2:6" ht="18" x14ac:dyDescent="0.2">
      <c r="B186" s="16">
        <v>184</v>
      </c>
      <c r="C186" s="18">
        <v>2083.25</v>
      </c>
      <c r="D186" s="18">
        <v>1294.8599999999999</v>
      </c>
      <c r="E186" s="18">
        <v>788.39</v>
      </c>
      <c r="F186" s="18">
        <v>291767.24</v>
      </c>
    </row>
    <row r="187" spans="2:6" ht="18" x14ac:dyDescent="0.2">
      <c r="B187" s="16">
        <v>185</v>
      </c>
      <c r="C187" s="18">
        <v>2083.25</v>
      </c>
      <c r="D187" s="18">
        <v>1298.3399999999999</v>
      </c>
      <c r="E187" s="18">
        <v>784.91</v>
      </c>
      <c r="F187" s="18">
        <v>290468.90000000002</v>
      </c>
    </row>
    <row r="188" spans="2:6" ht="18" x14ac:dyDescent="0.2">
      <c r="B188" s="16">
        <v>186</v>
      </c>
      <c r="C188" s="18">
        <v>2083.25</v>
      </c>
      <c r="D188" s="18">
        <v>1301.8399999999999</v>
      </c>
      <c r="E188" s="18">
        <v>781.41</v>
      </c>
      <c r="F188" s="18">
        <v>289167.06</v>
      </c>
    </row>
    <row r="189" spans="2:6" ht="18" x14ac:dyDescent="0.2">
      <c r="B189" s="16">
        <v>187</v>
      </c>
      <c r="C189" s="18">
        <v>2083.25</v>
      </c>
      <c r="D189" s="18">
        <v>1305.3399999999999</v>
      </c>
      <c r="E189" s="18">
        <v>777.91</v>
      </c>
      <c r="F189" s="18">
        <v>287861.71999999997</v>
      </c>
    </row>
    <row r="190" spans="2:6" ht="18" x14ac:dyDescent="0.2">
      <c r="B190" s="16">
        <v>188</v>
      </c>
      <c r="C190" s="18">
        <v>2083.25</v>
      </c>
      <c r="D190" s="18">
        <v>1308.8499999999999</v>
      </c>
      <c r="E190" s="18">
        <v>774.4</v>
      </c>
      <c r="F190" s="18">
        <v>286552.87</v>
      </c>
    </row>
    <row r="191" spans="2:6" ht="18" x14ac:dyDescent="0.2">
      <c r="B191" s="16">
        <v>189</v>
      </c>
      <c r="C191" s="18">
        <v>2083.25</v>
      </c>
      <c r="D191" s="18">
        <v>1312.37</v>
      </c>
      <c r="E191" s="18">
        <v>770.88</v>
      </c>
      <c r="F191" s="18">
        <v>285240.5</v>
      </c>
    </row>
    <row r="192" spans="2:6" ht="18" x14ac:dyDescent="0.2">
      <c r="B192" s="16">
        <v>190</v>
      </c>
      <c r="C192" s="18">
        <v>2083.25</v>
      </c>
      <c r="D192" s="18">
        <v>1315.9</v>
      </c>
      <c r="E192" s="18">
        <v>767.35</v>
      </c>
      <c r="F192" s="18">
        <v>283924.59999999998</v>
      </c>
    </row>
    <row r="193" spans="2:6" ht="18" x14ac:dyDescent="0.2">
      <c r="B193" s="16">
        <v>191</v>
      </c>
      <c r="C193" s="18">
        <v>2083.25</v>
      </c>
      <c r="D193" s="18">
        <v>1319.44</v>
      </c>
      <c r="E193" s="18">
        <v>763.81</v>
      </c>
      <c r="F193" s="18">
        <v>282605.15999999997</v>
      </c>
    </row>
    <row r="194" spans="2:6" ht="18" x14ac:dyDescent="0.2">
      <c r="B194" s="16">
        <v>192</v>
      </c>
      <c r="C194" s="18">
        <v>2083.25</v>
      </c>
      <c r="D194" s="18">
        <v>1322.99</v>
      </c>
      <c r="E194" s="18">
        <v>760.26</v>
      </c>
      <c r="F194" s="18">
        <v>281282.17</v>
      </c>
    </row>
    <row r="195" spans="2:6" ht="18" x14ac:dyDescent="0.2">
      <c r="B195" s="16">
        <v>193</v>
      </c>
      <c r="C195" s="18">
        <v>2083.25</v>
      </c>
      <c r="D195" s="18">
        <v>1326.55</v>
      </c>
      <c r="E195" s="18">
        <v>756.7</v>
      </c>
      <c r="F195" s="18">
        <v>279955.62</v>
      </c>
    </row>
    <row r="196" spans="2:6" ht="18" x14ac:dyDescent="0.2">
      <c r="B196" s="16">
        <v>194</v>
      </c>
      <c r="C196" s="18">
        <v>2083.25</v>
      </c>
      <c r="D196" s="18">
        <v>1330.12</v>
      </c>
      <c r="E196" s="18">
        <v>753.13</v>
      </c>
      <c r="F196" s="18">
        <v>278625.5</v>
      </c>
    </row>
    <row r="197" spans="2:6" ht="18" x14ac:dyDescent="0.2">
      <c r="B197" s="16">
        <v>195</v>
      </c>
      <c r="C197" s="18">
        <v>2083.25</v>
      </c>
      <c r="D197" s="18">
        <v>1333.7</v>
      </c>
      <c r="E197" s="18">
        <v>749.55</v>
      </c>
      <c r="F197" s="18">
        <v>277291.8</v>
      </c>
    </row>
    <row r="198" spans="2:6" ht="18" x14ac:dyDescent="0.2">
      <c r="B198" s="16">
        <v>196</v>
      </c>
      <c r="C198" s="18">
        <v>2083.25</v>
      </c>
      <c r="D198" s="18">
        <v>1337.29</v>
      </c>
      <c r="E198" s="18">
        <v>745.96</v>
      </c>
      <c r="F198" s="18">
        <v>275954.51</v>
      </c>
    </row>
    <row r="199" spans="2:6" ht="18" x14ac:dyDescent="0.2">
      <c r="B199" s="16">
        <v>197</v>
      </c>
      <c r="C199" s="18">
        <v>2083.25</v>
      </c>
      <c r="D199" s="18">
        <v>1340.88</v>
      </c>
      <c r="E199" s="18">
        <v>742.37</v>
      </c>
      <c r="F199" s="18">
        <v>274613.63</v>
      </c>
    </row>
    <row r="200" spans="2:6" ht="18" x14ac:dyDescent="0.2">
      <c r="B200" s="16">
        <v>198</v>
      </c>
      <c r="C200" s="18">
        <v>2083.25</v>
      </c>
      <c r="D200" s="18">
        <v>1344.49</v>
      </c>
      <c r="E200" s="18">
        <v>738.76</v>
      </c>
      <c r="F200" s="18">
        <v>273269.14</v>
      </c>
    </row>
    <row r="201" spans="2:6" ht="18" x14ac:dyDescent="0.2">
      <c r="B201" s="16">
        <v>199</v>
      </c>
      <c r="C201" s="18">
        <v>2083.25</v>
      </c>
      <c r="D201" s="18">
        <v>1348.11</v>
      </c>
      <c r="E201" s="18">
        <v>735.14</v>
      </c>
      <c r="F201" s="18">
        <v>271921.03000000003</v>
      </c>
    </row>
    <row r="202" spans="2:6" ht="18" x14ac:dyDescent="0.2">
      <c r="B202" s="16">
        <v>200</v>
      </c>
      <c r="C202" s="18">
        <v>2083.25</v>
      </c>
      <c r="D202" s="18">
        <v>1351.73</v>
      </c>
      <c r="E202" s="18">
        <v>731.52</v>
      </c>
      <c r="F202" s="18">
        <v>270569.3</v>
      </c>
    </row>
    <row r="203" spans="2:6" ht="18" x14ac:dyDescent="0.2">
      <c r="B203" s="16">
        <v>201</v>
      </c>
      <c r="C203" s="18">
        <v>2083.25</v>
      </c>
      <c r="D203" s="18">
        <v>1355.37</v>
      </c>
      <c r="E203" s="18">
        <v>727.88</v>
      </c>
      <c r="F203" s="18">
        <v>269213.93</v>
      </c>
    </row>
    <row r="204" spans="2:6" ht="18" x14ac:dyDescent="0.2">
      <c r="B204" s="16">
        <v>202</v>
      </c>
      <c r="C204" s="18">
        <v>2083.25</v>
      </c>
      <c r="D204" s="18">
        <v>1359.02</v>
      </c>
      <c r="E204" s="18">
        <v>724.23</v>
      </c>
      <c r="F204" s="18">
        <v>267854.90999999997</v>
      </c>
    </row>
    <row r="205" spans="2:6" ht="18" x14ac:dyDescent="0.2">
      <c r="B205" s="16">
        <v>203</v>
      </c>
      <c r="C205" s="18">
        <v>2083.25</v>
      </c>
      <c r="D205" s="18">
        <v>1362.67</v>
      </c>
      <c r="E205" s="18">
        <v>720.58</v>
      </c>
      <c r="F205" s="18">
        <v>266492.24</v>
      </c>
    </row>
    <row r="206" spans="2:6" ht="18" x14ac:dyDescent="0.2">
      <c r="B206" s="16">
        <v>204</v>
      </c>
      <c r="C206" s="18">
        <v>2083.25</v>
      </c>
      <c r="D206" s="18">
        <v>1366.34</v>
      </c>
      <c r="E206" s="18">
        <v>716.91</v>
      </c>
      <c r="F206" s="18">
        <v>265125.90000000002</v>
      </c>
    </row>
    <row r="207" spans="2:6" ht="18" x14ac:dyDescent="0.2">
      <c r="B207" s="16">
        <v>205</v>
      </c>
      <c r="C207" s="18">
        <v>2083.25</v>
      </c>
      <c r="D207" s="18">
        <v>1370.01</v>
      </c>
      <c r="E207" s="18">
        <v>713.24</v>
      </c>
      <c r="F207" s="18">
        <v>263755.89</v>
      </c>
    </row>
    <row r="208" spans="2:6" ht="18" x14ac:dyDescent="0.2">
      <c r="B208" s="16">
        <v>206</v>
      </c>
      <c r="C208" s="18">
        <v>2083.25</v>
      </c>
      <c r="D208" s="18">
        <v>1373.7</v>
      </c>
      <c r="E208" s="18">
        <v>709.55</v>
      </c>
      <c r="F208" s="18">
        <v>262382.19</v>
      </c>
    </row>
    <row r="209" spans="2:6" ht="18" x14ac:dyDescent="0.2">
      <c r="B209" s="16">
        <v>207</v>
      </c>
      <c r="C209" s="18">
        <v>2083.25</v>
      </c>
      <c r="D209" s="18">
        <v>1377.4</v>
      </c>
      <c r="E209" s="18">
        <v>705.85</v>
      </c>
      <c r="F209" s="18">
        <v>261004.79</v>
      </c>
    </row>
    <row r="210" spans="2:6" ht="18" x14ac:dyDescent="0.2">
      <c r="B210" s="16">
        <v>208</v>
      </c>
      <c r="C210" s="18">
        <v>2083.25</v>
      </c>
      <c r="D210" s="18">
        <v>1381.1</v>
      </c>
      <c r="E210" s="18">
        <v>702.15</v>
      </c>
      <c r="F210" s="18">
        <v>259623.69</v>
      </c>
    </row>
    <row r="211" spans="2:6" ht="18" x14ac:dyDescent="0.2">
      <c r="B211" s="16">
        <v>209</v>
      </c>
      <c r="C211" s="18">
        <v>2083.25</v>
      </c>
      <c r="D211" s="18">
        <v>1384.82</v>
      </c>
      <c r="E211" s="18">
        <v>698.43</v>
      </c>
      <c r="F211" s="18">
        <v>258238.87</v>
      </c>
    </row>
    <row r="212" spans="2:6" ht="18" x14ac:dyDescent="0.2">
      <c r="B212" s="16">
        <v>210</v>
      </c>
      <c r="C212" s="18">
        <v>2083.25</v>
      </c>
      <c r="D212" s="18">
        <v>1388.54</v>
      </c>
      <c r="E212" s="18">
        <v>694.71</v>
      </c>
      <c r="F212" s="18">
        <v>256850.33</v>
      </c>
    </row>
    <row r="213" spans="2:6" ht="18" x14ac:dyDescent="0.2">
      <c r="B213" s="16">
        <v>211</v>
      </c>
      <c r="C213" s="18">
        <v>2083.25</v>
      </c>
      <c r="D213" s="18">
        <v>1392.28</v>
      </c>
      <c r="E213" s="18">
        <v>690.97</v>
      </c>
      <c r="F213" s="18">
        <v>255458.05</v>
      </c>
    </row>
    <row r="214" spans="2:6" ht="18" x14ac:dyDescent="0.2">
      <c r="B214" s="16">
        <v>212</v>
      </c>
      <c r="C214" s="18">
        <v>2083.25</v>
      </c>
      <c r="D214" s="18">
        <v>1396.02</v>
      </c>
      <c r="E214" s="18">
        <v>687.23</v>
      </c>
      <c r="F214" s="18">
        <v>254062.03</v>
      </c>
    </row>
    <row r="215" spans="2:6" ht="18" x14ac:dyDescent="0.2">
      <c r="B215" s="16">
        <v>213</v>
      </c>
      <c r="C215" s="18">
        <v>2083.25</v>
      </c>
      <c r="D215" s="18">
        <v>1399.78</v>
      </c>
      <c r="E215" s="18">
        <v>683.47</v>
      </c>
      <c r="F215" s="18">
        <v>252662.25</v>
      </c>
    </row>
    <row r="216" spans="2:6" ht="18" x14ac:dyDescent="0.2">
      <c r="B216" s="16">
        <v>214</v>
      </c>
      <c r="C216" s="18">
        <v>2083.25</v>
      </c>
      <c r="D216" s="18">
        <v>1403.54</v>
      </c>
      <c r="E216" s="18">
        <v>679.71</v>
      </c>
      <c r="F216" s="18">
        <v>251258.71</v>
      </c>
    </row>
    <row r="217" spans="2:6" ht="18" x14ac:dyDescent="0.2">
      <c r="B217" s="16">
        <v>215</v>
      </c>
      <c r="C217" s="18">
        <v>2083.25</v>
      </c>
      <c r="D217" s="18">
        <v>1407.32</v>
      </c>
      <c r="E217" s="18">
        <v>675.93</v>
      </c>
      <c r="F217" s="18">
        <v>249851.39</v>
      </c>
    </row>
    <row r="218" spans="2:6" ht="18" x14ac:dyDescent="0.2">
      <c r="B218" s="16">
        <v>216</v>
      </c>
      <c r="C218" s="18">
        <v>2083.25</v>
      </c>
      <c r="D218" s="18">
        <v>1411.11</v>
      </c>
      <c r="E218" s="18">
        <v>672.14</v>
      </c>
      <c r="F218" s="18">
        <v>248440.28</v>
      </c>
    </row>
    <row r="219" spans="2:6" ht="18" x14ac:dyDescent="0.2">
      <c r="B219" s="16">
        <v>217</v>
      </c>
      <c r="C219" s="18">
        <v>2083.25</v>
      </c>
      <c r="D219" s="18">
        <v>1414.9</v>
      </c>
      <c r="E219" s="18">
        <v>668.35</v>
      </c>
      <c r="F219" s="18">
        <v>247025.38</v>
      </c>
    </row>
    <row r="220" spans="2:6" ht="18" x14ac:dyDescent="0.2">
      <c r="B220" s="16">
        <v>218</v>
      </c>
      <c r="C220" s="18">
        <v>2083.25</v>
      </c>
      <c r="D220" s="18">
        <v>1418.71</v>
      </c>
      <c r="E220" s="18">
        <v>664.54</v>
      </c>
      <c r="F220" s="18">
        <v>245606.67</v>
      </c>
    </row>
    <row r="221" spans="2:6" ht="18" x14ac:dyDescent="0.2">
      <c r="B221" s="16">
        <v>219</v>
      </c>
      <c r="C221" s="18">
        <v>2083.25</v>
      </c>
      <c r="D221" s="18">
        <v>1422.52</v>
      </c>
      <c r="E221" s="18">
        <v>660.73</v>
      </c>
      <c r="F221" s="18">
        <v>244184.15</v>
      </c>
    </row>
    <row r="222" spans="2:6" ht="18" x14ac:dyDescent="0.2">
      <c r="B222" s="16">
        <v>220</v>
      </c>
      <c r="C222" s="18">
        <v>2083.25</v>
      </c>
      <c r="D222" s="18">
        <v>1426.35</v>
      </c>
      <c r="E222" s="18">
        <v>656.9</v>
      </c>
      <c r="F222" s="18">
        <v>242757.8</v>
      </c>
    </row>
    <row r="223" spans="2:6" ht="18" x14ac:dyDescent="0.2">
      <c r="B223" s="16">
        <v>221</v>
      </c>
      <c r="C223" s="18">
        <v>2083.25</v>
      </c>
      <c r="D223" s="18">
        <v>1430.19</v>
      </c>
      <c r="E223" s="18">
        <v>653.05999999999995</v>
      </c>
      <c r="F223" s="18">
        <v>241327.61</v>
      </c>
    </row>
    <row r="224" spans="2:6" ht="18" x14ac:dyDescent="0.2">
      <c r="B224" s="16">
        <v>222</v>
      </c>
      <c r="C224" s="18">
        <v>2083.25</v>
      </c>
      <c r="D224" s="18">
        <v>1434.04</v>
      </c>
      <c r="E224" s="18">
        <v>649.21</v>
      </c>
      <c r="F224" s="18">
        <v>239893.57</v>
      </c>
    </row>
    <row r="225" spans="2:6" ht="18" x14ac:dyDescent="0.2">
      <c r="B225" s="16">
        <v>223</v>
      </c>
      <c r="C225" s="18">
        <v>2083.25</v>
      </c>
      <c r="D225" s="18">
        <v>1437.89</v>
      </c>
      <c r="E225" s="18">
        <v>645.36</v>
      </c>
      <c r="F225" s="18">
        <v>238455.67999999999</v>
      </c>
    </row>
    <row r="226" spans="2:6" ht="18" x14ac:dyDescent="0.2">
      <c r="B226" s="16">
        <v>224</v>
      </c>
      <c r="C226" s="18">
        <v>2083.25</v>
      </c>
      <c r="D226" s="18">
        <v>1441.76</v>
      </c>
      <c r="E226" s="18">
        <v>641.49</v>
      </c>
      <c r="F226" s="18">
        <v>237013.92</v>
      </c>
    </row>
    <row r="227" spans="2:6" ht="18" x14ac:dyDescent="0.2">
      <c r="B227" s="16">
        <v>225</v>
      </c>
      <c r="C227" s="18">
        <v>2083.25</v>
      </c>
      <c r="D227" s="18">
        <v>1445.64</v>
      </c>
      <c r="E227" s="18">
        <v>637.61</v>
      </c>
      <c r="F227" s="18">
        <v>235568.28</v>
      </c>
    </row>
    <row r="228" spans="2:6" ht="18" x14ac:dyDescent="0.2">
      <c r="B228" s="16">
        <v>226</v>
      </c>
      <c r="C228" s="18">
        <v>2083.25</v>
      </c>
      <c r="D228" s="18">
        <v>1449.53</v>
      </c>
      <c r="E228" s="18">
        <v>633.72</v>
      </c>
      <c r="F228" s="18">
        <v>234118.75</v>
      </c>
    </row>
    <row r="229" spans="2:6" ht="18" x14ac:dyDescent="0.2">
      <c r="B229" s="16">
        <v>227</v>
      </c>
      <c r="C229" s="18">
        <v>2083.25</v>
      </c>
      <c r="D229" s="18">
        <v>1453.43</v>
      </c>
      <c r="E229" s="18">
        <v>629.82000000000005</v>
      </c>
      <c r="F229" s="18">
        <v>232665.32</v>
      </c>
    </row>
    <row r="230" spans="2:6" ht="18" x14ac:dyDescent="0.2">
      <c r="B230" s="16">
        <v>228</v>
      </c>
      <c r="C230" s="18">
        <v>2083.25</v>
      </c>
      <c r="D230" s="18">
        <v>1457.34</v>
      </c>
      <c r="E230" s="18">
        <v>625.91</v>
      </c>
      <c r="F230" s="18">
        <v>231207.98</v>
      </c>
    </row>
    <row r="231" spans="2:6" ht="18" x14ac:dyDescent="0.2">
      <c r="B231" s="16">
        <v>229</v>
      </c>
      <c r="C231" s="18">
        <v>2083.25</v>
      </c>
      <c r="D231" s="18">
        <v>1461.26</v>
      </c>
      <c r="E231" s="18">
        <v>621.99</v>
      </c>
      <c r="F231" s="18">
        <v>229746.72</v>
      </c>
    </row>
    <row r="232" spans="2:6" ht="18" x14ac:dyDescent="0.2">
      <c r="B232" s="16">
        <v>230</v>
      </c>
      <c r="C232" s="18">
        <v>2083.25</v>
      </c>
      <c r="D232" s="18">
        <v>1465.19</v>
      </c>
      <c r="E232" s="18">
        <v>618.05999999999995</v>
      </c>
      <c r="F232" s="18">
        <v>228281.53</v>
      </c>
    </row>
    <row r="233" spans="2:6" ht="18" x14ac:dyDescent="0.2">
      <c r="B233" s="16">
        <v>231</v>
      </c>
      <c r="C233" s="18">
        <v>2083.25</v>
      </c>
      <c r="D233" s="18">
        <v>1469.13</v>
      </c>
      <c r="E233" s="18">
        <v>614.12</v>
      </c>
      <c r="F233" s="18">
        <v>226812.4</v>
      </c>
    </row>
    <row r="234" spans="2:6" ht="18" x14ac:dyDescent="0.2">
      <c r="B234" s="16">
        <v>232</v>
      </c>
      <c r="C234" s="18">
        <v>2083.25</v>
      </c>
      <c r="D234" s="18">
        <v>1473.08</v>
      </c>
      <c r="E234" s="18">
        <v>610.16999999999996</v>
      </c>
      <c r="F234" s="18">
        <v>225339.32</v>
      </c>
    </row>
    <row r="235" spans="2:6" ht="18" x14ac:dyDescent="0.2">
      <c r="B235" s="16">
        <v>233</v>
      </c>
      <c r="C235" s="18">
        <v>2083.25</v>
      </c>
      <c r="D235" s="18">
        <v>1477.05</v>
      </c>
      <c r="E235" s="18">
        <v>606.20000000000005</v>
      </c>
      <c r="F235" s="18">
        <v>223862.27</v>
      </c>
    </row>
    <row r="236" spans="2:6" ht="18" x14ac:dyDescent="0.2">
      <c r="B236" s="16">
        <v>234</v>
      </c>
      <c r="C236" s="18">
        <v>2083.25</v>
      </c>
      <c r="D236" s="18">
        <v>1481.02</v>
      </c>
      <c r="E236" s="18">
        <v>602.23</v>
      </c>
      <c r="F236" s="18">
        <v>222381.25</v>
      </c>
    </row>
    <row r="237" spans="2:6" ht="18" x14ac:dyDescent="0.2">
      <c r="B237" s="16">
        <v>235</v>
      </c>
      <c r="C237" s="18">
        <v>2083.25</v>
      </c>
      <c r="D237" s="18">
        <v>1485.01</v>
      </c>
      <c r="E237" s="18">
        <v>598.24</v>
      </c>
      <c r="F237" s="18">
        <v>220896.24</v>
      </c>
    </row>
    <row r="238" spans="2:6" ht="18" x14ac:dyDescent="0.2">
      <c r="B238" s="16">
        <v>236</v>
      </c>
      <c r="C238" s="18">
        <v>2083.25</v>
      </c>
      <c r="D238" s="18">
        <v>1489</v>
      </c>
      <c r="E238" s="18">
        <v>594.25</v>
      </c>
      <c r="F238" s="18">
        <v>219407.24</v>
      </c>
    </row>
    <row r="239" spans="2:6" ht="18" x14ac:dyDescent="0.2">
      <c r="B239" s="16">
        <v>237</v>
      </c>
      <c r="C239" s="18">
        <v>2083.25</v>
      </c>
      <c r="D239" s="18">
        <v>1493.01</v>
      </c>
      <c r="E239" s="18">
        <v>590.24</v>
      </c>
      <c r="F239" s="18">
        <v>217914.23</v>
      </c>
    </row>
    <row r="240" spans="2:6" ht="18" x14ac:dyDescent="0.2">
      <c r="B240" s="16">
        <v>238</v>
      </c>
      <c r="C240" s="18">
        <v>2083.25</v>
      </c>
      <c r="D240" s="18">
        <v>1497.02</v>
      </c>
      <c r="E240" s="18">
        <v>586.23</v>
      </c>
      <c r="F240" s="18">
        <v>216417.21</v>
      </c>
    </row>
    <row r="241" spans="2:6" ht="18" x14ac:dyDescent="0.2">
      <c r="B241" s="16">
        <v>239</v>
      </c>
      <c r="C241" s="18">
        <v>2083.25</v>
      </c>
      <c r="D241" s="18">
        <v>1501.05</v>
      </c>
      <c r="E241" s="18">
        <v>582.20000000000005</v>
      </c>
      <c r="F241" s="18">
        <v>214916.16</v>
      </c>
    </row>
    <row r="242" spans="2:6" ht="18" x14ac:dyDescent="0.2">
      <c r="B242" s="16">
        <v>240</v>
      </c>
      <c r="C242" s="18">
        <v>2083.25</v>
      </c>
      <c r="D242" s="18">
        <v>1505.09</v>
      </c>
      <c r="E242" s="18">
        <v>578.16</v>
      </c>
      <c r="F242" s="18">
        <v>213411.07</v>
      </c>
    </row>
    <row r="243" spans="2:6" ht="18" x14ac:dyDescent="0.2">
      <c r="B243" s="16">
        <v>241</v>
      </c>
      <c r="C243" s="18">
        <v>2083.25</v>
      </c>
      <c r="D243" s="18">
        <v>1509.14</v>
      </c>
      <c r="E243" s="18">
        <v>574.11</v>
      </c>
      <c r="F243" s="18">
        <v>211901.93</v>
      </c>
    </row>
    <row r="244" spans="2:6" ht="18" x14ac:dyDescent="0.2">
      <c r="B244" s="16">
        <v>242</v>
      </c>
      <c r="C244" s="18">
        <v>2083.25</v>
      </c>
      <c r="D244" s="18">
        <v>1513.2</v>
      </c>
      <c r="E244" s="18">
        <v>570.04999999999995</v>
      </c>
      <c r="F244" s="18">
        <v>210388.73</v>
      </c>
    </row>
    <row r="245" spans="2:6" ht="18" x14ac:dyDescent="0.2">
      <c r="B245" s="16">
        <v>243</v>
      </c>
      <c r="C245" s="18">
        <v>2083.25</v>
      </c>
      <c r="D245" s="18">
        <v>1517.27</v>
      </c>
      <c r="E245" s="18">
        <v>565.98</v>
      </c>
      <c r="F245" s="18">
        <v>208871.46</v>
      </c>
    </row>
    <row r="246" spans="2:6" ht="18" x14ac:dyDescent="0.2">
      <c r="B246" s="16">
        <v>244</v>
      </c>
      <c r="C246" s="18">
        <v>2083.25</v>
      </c>
      <c r="D246" s="18">
        <v>1521.35</v>
      </c>
      <c r="E246" s="18">
        <v>561.9</v>
      </c>
      <c r="F246" s="18">
        <v>207350.11</v>
      </c>
    </row>
    <row r="247" spans="2:6" ht="18" x14ac:dyDescent="0.2">
      <c r="B247" s="16">
        <v>245</v>
      </c>
      <c r="C247" s="18">
        <v>2083.25</v>
      </c>
      <c r="D247" s="18">
        <v>1525.44</v>
      </c>
      <c r="E247" s="18">
        <v>557.80999999999995</v>
      </c>
      <c r="F247" s="18">
        <v>205824.67</v>
      </c>
    </row>
    <row r="248" spans="2:6" ht="18" x14ac:dyDescent="0.2">
      <c r="B248" s="16">
        <v>246</v>
      </c>
      <c r="C248" s="18">
        <v>2083.25</v>
      </c>
      <c r="D248" s="18">
        <v>1529.55</v>
      </c>
      <c r="E248" s="18">
        <v>553.70000000000005</v>
      </c>
      <c r="F248" s="18">
        <v>204295.12</v>
      </c>
    </row>
    <row r="249" spans="2:6" ht="18" x14ac:dyDescent="0.2">
      <c r="B249" s="16">
        <v>247</v>
      </c>
      <c r="C249" s="18">
        <v>2083.25</v>
      </c>
      <c r="D249" s="18">
        <v>1533.66</v>
      </c>
      <c r="E249" s="18">
        <v>549.59</v>
      </c>
      <c r="F249" s="18">
        <v>202761.46</v>
      </c>
    </row>
    <row r="250" spans="2:6" ht="18" x14ac:dyDescent="0.2">
      <c r="B250" s="16">
        <v>248</v>
      </c>
      <c r="C250" s="18">
        <v>2083.25</v>
      </c>
      <c r="D250" s="18">
        <v>1537.79</v>
      </c>
      <c r="E250" s="18">
        <v>545.46</v>
      </c>
      <c r="F250" s="18">
        <v>201223.67</v>
      </c>
    </row>
    <row r="251" spans="2:6" ht="18" x14ac:dyDescent="0.2">
      <c r="B251" s="16">
        <v>249</v>
      </c>
      <c r="C251" s="18">
        <v>2083.25</v>
      </c>
      <c r="D251" s="18">
        <v>1541.92</v>
      </c>
      <c r="E251" s="18">
        <v>541.33000000000004</v>
      </c>
      <c r="F251" s="18">
        <v>199681.75</v>
      </c>
    </row>
    <row r="252" spans="2:6" ht="18" x14ac:dyDescent="0.2">
      <c r="B252" s="16">
        <v>250</v>
      </c>
      <c r="C252" s="18">
        <v>2083.25</v>
      </c>
      <c r="D252" s="18">
        <v>1546.07</v>
      </c>
      <c r="E252" s="18">
        <v>537.17999999999995</v>
      </c>
      <c r="F252" s="18">
        <v>198135.67999999999</v>
      </c>
    </row>
    <row r="253" spans="2:6" ht="18" x14ac:dyDescent="0.2">
      <c r="B253" s="16">
        <v>251</v>
      </c>
      <c r="C253" s="18">
        <v>2083.25</v>
      </c>
      <c r="D253" s="18">
        <v>1550.23</v>
      </c>
      <c r="E253" s="18">
        <v>533.02</v>
      </c>
      <c r="F253" s="18">
        <v>196585.45</v>
      </c>
    </row>
    <row r="254" spans="2:6" ht="18" x14ac:dyDescent="0.2">
      <c r="B254" s="16">
        <v>252</v>
      </c>
      <c r="C254" s="18">
        <v>2083.25</v>
      </c>
      <c r="D254" s="18">
        <v>1554.4</v>
      </c>
      <c r="E254" s="18">
        <v>528.85</v>
      </c>
      <c r="F254" s="18">
        <v>195031.05</v>
      </c>
    </row>
    <row r="255" spans="2:6" ht="18" x14ac:dyDescent="0.2">
      <c r="B255" s="16">
        <v>253</v>
      </c>
      <c r="C255" s="18">
        <v>2083.25</v>
      </c>
      <c r="D255" s="18">
        <v>1558.58</v>
      </c>
      <c r="E255" s="18">
        <v>524.66999999999996</v>
      </c>
      <c r="F255" s="18">
        <v>193472.47</v>
      </c>
    </row>
    <row r="256" spans="2:6" ht="18" x14ac:dyDescent="0.2">
      <c r="B256" s="16">
        <v>254</v>
      </c>
      <c r="C256" s="18">
        <v>2083.25</v>
      </c>
      <c r="D256" s="18">
        <v>1562.78</v>
      </c>
      <c r="E256" s="18">
        <v>520.47</v>
      </c>
      <c r="F256" s="18">
        <v>191909.69</v>
      </c>
    </row>
    <row r="257" spans="2:6" ht="18" x14ac:dyDescent="0.2">
      <c r="B257" s="16">
        <v>255</v>
      </c>
      <c r="C257" s="18">
        <v>2083.25</v>
      </c>
      <c r="D257" s="18">
        <v>1566.98</v>
      </c>
      <c r="E257" s="18">
        <v>516.27</v>
      </c>
      <c r="F257" s="18">
        <v>190342.71</v>
      </c>
    </row>
    <row r="258" spans="2:6" ht="18" x14ac:dyDescent="0.2">
      <c r="B258" s="16">
        <v>256</v>
      </c>
      <c r="C258" s="18">
        <v>2083.25</v>
      </c>
      <c r="D258" s="18">
        <v>1571.19</v>
      </c>
      <c r="E258" s="18">
        <v>512.05999999999995</v>
      </c>
      <c r="F258" s="18">
        <v>188771.52</v>
      </c>
    </row>
    <row r="259" spans="2:6" ht="18" x14ac:dyDescent="0.2">
      <c r="B259" s="16">
        <v>257</v>
      </c>
      <c r="C259" s="18">
        <v>2083.25</v>
      </c>
      <c r="D259" s="18">
        <v>1575.42</v>
      </c>
      <c r="E259" s="18">
        <v>507.83</v>
      </c>
      <c r="F259" s="18">
        <v>187196.1</v>
      </c>
    </row>
    <row r="260" spans="2:6" ht="18" x14ac:dyDescent="0.2">
      <c r="B260" s="16">
        <v>258</v>
      </c>
      <c r="C260" s="18">
        <v>2083.25</v>
      </c>
      <c r="D260" s="18">
        <v>1579.66</v>
      </c>
      <c r="E260" s="18">
        <v>503.59</v>
      </c>
      <c r="F260" s="18">
        <v>185616.44</v>
      </c>
    </row>
    <row r="261" spans="2:6" ht="18" x14ac:dyDescent="0.2">
      <c r="B261" s="16">
        <v>259</v>
      </c>
      <c r="C261" s="18">
        <v>2083.25</v>
      </c>
      <c r="D261" s="18">
        <v>1583.91</v>
      </c>
      <c r="E261" s="18">
        <v>499.34</v>
      </c>
      <c r="F261" s="18">
        <v>184032.53</v>
      </c>
    </row>
    <row r="262" spans="2:6" ht="18" x14ac:dyDescent="0.2">
      <c r="B262" s="16">
        <v>260</v>
      </c>
      <c r="C262" s="18">
        <v>2083.25</v>
      </c>
      <c r="D262" s="18">
        <v>1588.17</v>
      </c>
      <c r="E262" s="18">
        <v>495.08</v>
      </c>
      <c r="F262" s="18">
        <v>182444.36</v>
      </c>
    </row>
    <row r="263" spans="2:6" ht="18" x14ac:dyDescent="0.2">
      <c r="B263" s="16">
        <v>261</v>
      </c>
      <c r="C263" s="18">
        <v>2083.25</v>
      </c>
      <c r="D263" s="18">
        <v>1592.44</v>
      </c>
      <c r="E263" s="18">
        <v>490.81</v>
      </c>
      <c r="F263" s="18">
        <v>180851.92</v>
      </c>
    </row>
    <row r="264" spans="2:6" ht="18" x14ac:dyDescent="0.2">
      <c r="B264" s="16">
        <v>262</v>
      </c>
      <c r="C264" s="18">
        <v>2083.25</v>
      </c>
      <c r="D264" s="18">
        <v>1596.73</v>
      </c>
      <c r="E264" s="18">
        <v>486.52</v>
      </c>
      <c r="F264" s="18">
        <v>179255.19</v>
      </c>
    </row>
    <row r="265" spans="2:6" ht="18" x14ac:dyDescent="0.2">
      <c r="B265" s="16">
        <v>263</v>
      </c>
      <c r="C265" s="18">
        <v>2083.25</v>
      </c>
      <c r="D265" s="18">
        <v>1601.02</v>
      </c>
      <c r="E265" s="18">
        <v>482.23</v>
      </c>
      <c r="F265" s="18">
        <v>177654.17</v>
      </c>
    </row>
    <row r="266" spans="2:6" ht="18" x14ac:dyDescent="0.2">
      <c r="B266" s="16">
        <v>264</v>
      </c>
      <c r="C266" s="18">
        <v>2083.25</v>
      </c>
      <c r="D266" s="18">
        <v>1605.33</v>
      </c>
      <c r="E266" s="18">
        <v>477.92</v>
      </c>
      <c r="F266" s="18">
        <v>176048.84</v>
      </c>
    </row>
    <row r="267" spans="2:6" ht="18" x14ac:dyDescent="0.2">
      <c r="B267" s="16">
        <v>265</v>
      </c>
      <c r="C267" s="18">
        <v>2083.25</v>
      </c>
      <c r="D267" s="18">
        <v>1609.65</v>
      </c>
      <c r="E267" s="18">
        <v>473.6</v>
      </c>
      <c r="F267" s="18">
        <v>174439.19</v>
      </c>
    </row>
    <row r="268" spans="2:6" ht="18" x14ac:dyDescent="0.2">
      <c r="B268" s="16">
        <v>266</v>
      </c>
      <c r="C268" s="18">
        <v>2083.25</v>
      </c>
      <c r="D268" s="18">
        <v>1613.98</v>
      </c>
      <c r="E268" s="18">
        <v>469.27</v>
      </c>
      <c r="F268" s="18">
        <v>172825.21</v>
      </c>
    </row>
    <row r="269" spans="2:6" ht="18" x14ac:dyDescent="0.2">
      <c r="B269" s="16">
        <v>267</v>
      </c>
      <c r="C269" s="18">
        <v>2083.25</v>
      </c>
      <c r="D269" s="18">
        <v>1618.32</v>
      </c>
      <c r="E269" s="18">
        <v>464.93</v>
      </c>
      <c r="F269" s="18">
        <v>171206.89</v>
      </c>
    </row>
    <row r="270" spans="2:6" ht="18" x14ac:dyDescent="0.2">
      <c r="B270" s="16">
        <v>268</v>
      </c>
      <c r="C270" s="18">
        <v>2083.25</v>
      </c>
      <c r="D270" s="18">
        <v>1622.67</v>
      </c>
      <c r="E270" s="18">
        <v>460.58</v>
      </c>
      <c r="F270" s="18">
        <v>169584.22</v>
      </c>
    </row>
    <row r="271" spans="2:6" ht="18" x14ac:dyDescent="0.2">
      <c r="B271" s="16">
        <v>269</v>
      </c>
      <c r="C271" s="18">
        <v>2083.25</v>
      </c>
      <c r="D271" s="18">
        <v>1627.04</v>
      </c>
      <c r="E271" s="18">
        <v>456.21</v>
      </c>
      <c r="F271" s="18">
        <v>167957.18</v>
      </c>
    </row>
    <row r="272" spans="2:6" ht="18" x14ac:dyDescent="0.2">
      <c r="B272" s="16">
        <v>270</v>
      </c>
      <c r="C272" s="18">
        <v>2083.25</v>
      </c>
      <c r="D272" s="18">
        <v>1631.42</v>
      </c>
      <c r="E272" s="18">
        <v>451.83</v>
      </c>
      <c r="F272" s="18">
        <v>166325.76000000001</v>
      </c>
    </row>
    <row r="273" spans="2:6" ht="18" x14ac:dyDescent="0.2">
      <c r="B273" s="16">
        <v>271</v>
      </c>
      <c r="C273" s="18">
        <v>2083.25</v>
      </c>
      <c r="D273" s="18">
        <v>1635.8</v>
      </c>
      <c r="E273" s="18">
        <v>447.45</v>
      </c>
      <c r="F273" s="18">
        <v>164689.96</v>
      </c>
    </row>
    <row r="274" spans="2:6" ht="18" x14ac:dyDescent="0.2">
      <c r="B274" s="16">
        <v>272</v>
      </c>
      <c r="C274" s="18">
        <v>2083.25</v>
      </c>
      <c r="D274" s="18">
        <v>1640.21</v>
      </c>
      <c r="E274" s="18">
        <v>443.04</v>
      </c>
      <c r="F274" s="18">
        <v>163049.75</v>
      </c>
    </row>
    <row r="275" spans="2:6" ht="18" x14ac:dyDescent="0.2">
      <c r="B275" s="16">
        <v>273</v>
      </c>
      <c r="C275" s="18">
        <v>2083.25</v>
      </c>
      <c r="D275" s="18">
        <v>1644.62</v>
      </c>
      <c r="E275" s="18">
        <v>438.63</v>
      </c>
      <c r="F275" s="18">
        <v>161405.13</v>
      </c>
    </row>
    <row r="276" spans="2:6" ht="18" x14ac:dyDescent="0.2">
      <c r="B276" s="16">
        <v>274</v>
      </c>
      <c r="C276" s="18">
        <v>2083.25</v>
      </c>
      <c r="D276" s="18">
        <v>1649.04</v>
      </c>
      <c r="E276" s="18">
        <v>434.21</v>
      </c>
      <c r="F276" s="18">
        <v>159756.09</v>
      </c>
    </row>
    <row r="277" spans="2:6" ht="18" x14ac:dyDescent="0.2">
      <c r="B277" s="16">
        <v>275</v>
      </c>
      <c r="C277" s="18">
        <v>2083.25</v>
      </c>
      <c r="D277" s="18">
        <v>1653.48</v>
      </c>
      <c r="E277" s="18">
        <v>429.77</v>
      </c>
      <c r="F277" s="18">
        <v>158102.60999999999</v>
      </c>
    </row>
    <row r="278" spans="2:6" ht="18" x14ac:dyDescent="0.2">
      <c r="B278" s="16">
        <v>276</v>
      </c>
      <c r="C278" s="18">
        <v>2083.25</v>
      </c>
      <c r="D278" s="18">
        <v>1657.93</v>
      </c>
      <c r="E278" s="18">
        <v>425.32</v>
      </c>
      <c r="F278" s="18">
        <v>156444.68</v>
      </c>
    </row>
    <row r="279" spans="2:6" ht="18" x14ac:dyDescent="0.2">
      <c r="B279" s="16">
        <v>277</v>
      </c>
      <c r="C279" s="18">
        <v>2083.25</v>
      </c>
      <c r="D279" s="18">
        <v>1662.39</v>
      </c>
      <c r="E279" s="18">
        <v>420.86</v>
      </c>
      <c r="F279" s="18">
        <v>154782.29</v>
      </c>
    </row>
    <row r="280" spans="2:6" ht="18" x14ac:dyDescent="0.2">
      <c r="B280" s="16">
        <v>278</v>
      </c>
      <c r="C280" s="18">
        <v>2083.25</v>
      </c>
      <c r="D280" s="18">
        <v>1666.86</v>
      </c>
      <c r="E280" s="18">
        <v>416.39</v>
      </c>
      <c r="F280" s="18">
        <v>153115.43</v>
      </c>
    </row>
    <row r="281" spans="2:6" ht="18" x14ac:dyDescent="0.2">
      <c r="B281" s="16">
        <v>279</v>
      </c>
      <c r="C281" s="18">
        <v>2083.25</v>
      </c>
      <c r="D281" s="18">
        <v>1671.34</v>
      </c>
      <c r="E281" s="18">
        <v>411.91</v>
      </c>
      <c r="F281" s="18">
        <v>151444.09</v>
      </c>
    </row>
    <row r="282" spans="2:6" ht="18" x14ac:dyDescent="0.2">
      <c r="B282" s="16">
        <v>280</v>
      </c>
      <c r="C282" s="18">
        <v>2083.25</v>
      </c>
      <c r="D282" s="18">
        <v>1675.84</v>
      </c>
      <c r="E282" s="18">
        <v>407.41</v>
      </c>
      <c r="F282" s="18">
        <v>149768.25</v>
      </c>
    </row>
    <row r="283" spans="2:6" ht="18" x14ac:dyDescent="0.2">
      <c r="B283" s="16">
        <v>281</v>
      </c>
      <c r="C283" s="18">
        <v>2083.25</v>
      </c>
      <c r="D283" s="18">
        <v>1680.35</v>
      </c>
      <c r="E283" s="18">
        <v>402.9</v>
      </c>
      <c r="F283" s="18">
        <v>148087.9</v>
      </c>
    </row>
    <row r="284" spans="2:6" ht="18" x14ac:dyDescent="0.2">
      <c r="B284" s="16">
        <v>282</v>
      </c>
      <c r="C284" s="18">
        <v>2083.25</v>
      </c>
      <c r="D284" s="18">
        <v>1684.87</v>
      </c>
      <c r="E284" s="18">
        <v>398.38</v>
      </c>
      <c r="F284" s="18">
        <v>146403.03</v>
      </c>
    </row>
    <row r="285" spans="2:6" ht="18" x14ac:dyDescent="0.2">
      <c r="B285" s="16">
        <v>283</v>
      </c>
      <c r="C285" s="18">
        <v>2083.25</v>
      </c>
      <c r="D285" s="18">
        <v>1689.4</v>
      </c>
      <c r="E285" s="18">
        <v>393.85</v>
      </c>
      <c r="F285" s="18">
        <v>144713.63</v>
      </c>
    </row>
    <row r="286" spans="2:6" ht="18" x14ac:dyDescent="0.2">
      <c r="B286" s="16">
        <v>284</v>
      </c>
      <c r="C286" s="18">
        <v>2083.25</v>
      </c>
      <c r="D286" s="18">
        <v>1693.94</v>
      </c>
      <c r="E286" s="18">
        <v>389.31</v>
      </c>
      <c r="F286" s="18">
        <v>143019.69</v>
      </c>
    </row>
    <row r="287" spans="2:6" ht="18" x14ac:dyDescent="0.2">
      <c r="B287" s="16">
        <v>285</v>
      </c>
      <c r="C287" s="18">
        <v>2083.25</v>
      </c>
      <c r="D287" s="18">
        <v>1698.5</v>
      </c>
      <c r="E287" s="18">
        <v>384.75</v>
      </c>
      <c r="F287" s="18">
        <v>141321.19</v>
      </c>
    </row>
    <row r="288" spans="2:6" ht="18" x14ac:dyDescent="0.2">
      <c r="B288" s="16">
        <v>286</v>
      </c>
      <c r="C288" s="18">
        <v>2083.25</v>
      </c>
      <c r="D288" s="18">
        <v>1703.07</v>
      </c>
      <c r="E288" s="18">
        <v>380.18</v>
      </c>
      <c r="F288" s="18">
        <v>139618.12</v>
      </c>
    </row>
    <row r="289" spans="2:6" ht="18" x14ac:dyDescent="0.2">
      <c r="B289" s="16">
        <v>287</v>
      </c>
      <c r="C289" s="18">
        <v>2083.25</v>
      </c>
      <c r="D289" s="18">
        <v>1707.65</v>
      </c>
      <c r="E289" s="18">
        <v>375.6</v>
      </c>
      <c r="F289" s="18">
        <v>137910.47</v>
      </c>
    </row>
    <row r="290" spans="2:6" ht="18" x14ac:dyDescent="0.2">
      <c r="B290" s="16">
        <v>288</v>
      </c>
      <c r="C290" s="18">
        <v>2083.25</v>
      </c>
      <c r="D290" s="18">
        <v>1712.25</v>
      </c>
      <c r="E290" s="18">
        <v>371</v>
      </c>
      <c r="F290" s="18">
        <v>136198.22</v>
      </c>
    </row>
    <row r="291" spans="2:6" ht="18" x14ac:dyDescent="0.2">
      <c r="B291" s="16">
        <v>289</v>
      </c>
      <c r="C291" s="18">
        <v>2083.25</v>
      </c>
      <c r="D291" s="18">
        <v>1716.85</v>
      </c>
      <c r="E291" s="18">
        <v>366.4</v>
      </c>
      <c r="F291" s="18">
        <v>134481.37</v>
      </c>
    </row>
    <row r="292" spans="2:6" ht="18" x14ac:dyDescent="0.2">
      <c r="B292" s="16">
        <v>290</v>
      </c>
      <c r="C292" s="18">
        <v>2083.25</v>
      </c>
      <c r="D292" s="18">
        <v>1721.47</v>
      </c>
      <c r="E292" s="18">
        <v>361.78</v>
      </c>
      <c r="F292" s="18">
        <v>132759.9</v>
      </c>
    </row>
    <row r="293" spans="2:6" ht="18" x14ac:dyDescent="0.2">
      <c r="B293" s="16">
        <v>291</v>
      </c>
      <c r="C293" s="18">
        <v>2083.25</v>
      </c>
      <c r="D293" s="18">
        <v>1726.1</v>
      </c>
      <c r="E293" s="18">
        <v>357.15</v>
      </c>
      <c r="F293" s="18">
        <v>131033.8</v>
      </c>
    </row>
    <row r="294" spans="2:6" ht="18" x14ac:dyDescent="0.2">
      <c r="B294" s="16">
        <v>292</v>
      </c>
      <c r="C294" s="18">
        <v>2083.25</v>
      </c>
      <c r="D294" s="18">
        <v>1730.75</v>
      </c>
      <c r="E294" s="18">
        <v>352.5</v>
      </c>
      <c r="F294" s="18">
        <v>129303.05</v>
      </c>
    </row>
    <row r="295" spans="2:6" ht="18" x14ac:dyDescent="0.2">
      <c r="B295" s="16">
        <v>293</v>
      </c>
      <c r="C295" s="18">
        <v>2083.25</v>
      </c>
      <c r="D295" s="18">
        <v>1735.4</v>
      </c>
      <c r="E295" s="18">
        <v>347.85</v>
      </c>
      <c r="F295" s="18">
        <v>127567.65</v>
      </c>
    </row>
    <row r="296" spans="2:6" ht="18" x14ac:dyDescent="0.2">
      <c r="B296" s="16">
        <v>294</v>
      </c>
      <c r="C296" s="18">
        <v>2083.25</v>
      </c>
      <c r="D296" s="18">
        <v>1740.07</v>
      </c>
      <c r="E296" s="18">
        <v>343.18</v>
      </c>
      <c r="F296" s="18">
        <v>125827.58</v>
      </c>
    </row>
    <row r="297" spans="2:6" ht="18" x14ac:dyDescent="0.2">
      <c r="B297" s="16">
        <v>295</v>
      </c>
      <c r="C297" s="18">
        <v>2083.25</v>
      </c>
      <c r="D297" s="18">
        <v>1744.75</v>
      </c>
      <c r="E297" s="18">
        <v>338.5</v>
      </c>
      <c r="F297" s="18">
        <v>124082.83</v>
      </c>
    </row>
    <row r="298" spans="2:6" ht="18" x14ac:dyDescent="0.2">
      <c r="B298" s="16">
        <v>296</v>
      </c>
      <c r="C298" s="18">
        <v>2083.25</v>
      </c>
      <c r="D298" s="18">
        <v>1749.45</v>
      </c>
      <c r="E298" s="18">
        <v>333.8</v>
      </c>
      <c r="F298" s="18">
        <v>122333.38</v>
      </c>
    </row>
    <row r="299" spans="2:6" ht="18" x14ac:dyDescent="0.2">
      <c r="B299" s="16">
        <v>297</v>
      </c>
      <c r="C299" s="18">
        <v>2083.25</v>
      </c>
      <c r="D299" s="18">
        <v>1754.15</v>
      </c>
      <c r="E299" s="18">
        <v>329.1</v>
      </c>
      <c r="F299" s="18">
        <v>120579.23</v>
      </c>
    </row>
    <row r="300" spans="2:6" ht="18" x14ac:dyDescent="0.2">
      <c r="B300" s="16">
        <v>298</v>
      </c>
      <c r="C300" s="18">
        <v>2083.25</v>
      </c>
      <c r="D300" s="18">
        <v>1758.87</v>
      </c>
      <c r="E300" s="18">
        <v>324.38</v>
      </c>
      <c r="F300" s="18">
        <v>118820.36</v>
      </c>
    </row>
    <row r="301" spans="2:6" ht="18" x14ac:dyDescent="0.2">
      <c r="B301" s="16">
        <v>299</v>
      </c>
      <c r="C301" s="18">
        <v>2083.25</v>
      </c>
      <c r="D301" s="18">
        <v>1763.6</v>
      </c>
      <c r="E301" s="18">
        <v>319.64999999999998</v>
      </c>
      <c r="F301" s="18">
        <v>117056.76</v>
      </c>
    </row>
    <row r="302" spans="2:6" ht="18" x14ac:dyDescent="0.2">
      <c r="B302" s="16">
        <v>300</v>
      </c>
      <c r="C302" s="18">
        <v>2083.25</v>
      </c>
      <c r="D302" s="18">
        <v>1768.35</v>
      </c>
      <c r="E302" s="18">
        <v>314.89999999999998</v>
      </c>
      <c r="F302" s="18">
        <v>115288.41</v>
      </c>
    </row>
    <row r="303" spans="2:6" ht="18" x14ac:dyDescent="0.2">
      <c r="B303" s="16">
        <v>301</v>
      </c>
      <c r="C303" s="18">
        <v>2083.25</v>
      </c>
      <c r="D303" s="18">
        <v>1773.1</v>
      </c>
      <c r="E303" s="18">
        <v>310.14999999999998</v>
      </c>
      <c r="F303" s="18">
        <v>113515.31</v>
      </c>
    </row>
    <row r="304" spans="2:6" ht="18" x14ac:dyDescent="0.2">
      <c r="B304" s="16">
        <v>302</v>
      </c>
      <c r="C304" s="18">
        <v>2083.25</v>
      </c>
      <c r="D304" s="18">
        <v>1777.87</v>
      </c>
      <c r="E304" s="18">
        <v>305.38</v>
      </c>
      <c r="F304" s="18">
        <v>111737.44</v>
      </c>
    </row>
    <row r="305" spans="2:6" ht="18" x14ac:dyDescent="0.2">
      <c r="B305" s="16">
        <v>303</v>
      </c>
      <c r="C305" s="18">
        <v>2083.25</v>
      </c>
      <c r="D305" s="18">
        <v>1782.66</v>
      </c>
      <c r="E305" s="18">
        <v>300.58999999999997</v>
      </c>
      <c r="F305" s="18">
        <v>109954.78</v>
      </c>
    </row>
    <row r="306" spans="2:6" ht="18" x14ac:dyDescent="0.2">
      <c r="B306" s="16">
        <v>304</v>
      </c>
      <c r="C306" s="18">
        <v>2083.25</v>
      </c>
      <c r="D306" s="18">
        <v>1787.45</v>
      </c>
      <c r="E306" s="18">
        <v>295.8</v>
      </c>
      <c r="F306" s="18">
        <v>108167.33</v>
      </c>
    </row>
    <row r="307" spans="2:6" ht="18" x14ac:dyDescent="0.2">
      <c r="B307" s="16">
        <v>305</v>
      </c>
      <c r="C307" s="18">
        <v>2083.25</v>
      </c>
      <c r="D307" s="18">
        <v>1792.26</v>
      </c>
      <c r="E307" s="18">
        <v>290.99</v>
      </c>
      <c r="F307" s="18">
        <v>106375.07</v>
      </c>
    </row>
    <row r="308" spans="2:6" ht="18" x14ac:dyDescent="0.2">
      <c r="B308" s="16">
        <v>306</v>
      </c>
      <c r="C308" s="18">
        <v>2083.25</v>
      </c>
      <c r="D308" s="18">
        <v>1797.08</v>
      </c>
      <c r="E308" s="18">
        <v>286.17</v>
      </c>
      <c r="F308" s="18">
        <v>104577.99</v>
      </c>
    </row>
    <row r="309" spans="2:6" ht="18" x14ac:dyDescent="0.2">
      <c r="B309" s="16">
        <v>307</v>
      </c>
      <c r="C309" s="18">
        <v>2083.25</v>
      </c>
      <c r="D309" s="18">
        <v>1801.92</v>
      </c>
      <c r="E309" s="18">
        <v>281.33</v>
      </c>
      <c r="F309" s="18">
        <v>102776.07</v>
      </c>
    </row>
    <row r="310" spans="2:6" ht="18" x14ac:dyDescent="0.2">
      <c r="B310" s="16">
        <v>308</v>
      </c>
      <c r="C310" s="18">
        <v>2083.25</v>
      </c>
      <c r="D310" s="18">
        <v>1806.76</v>
      </c>
      <c r="E310" s="18">
        <v>276.49</v>
      </c>
      <c r="F310" s="18">
        <v>100969.31</v>
      </c>
    </row>
    <row r="311" spans="2:6" ht="18" x14ac:dyDescent="0.2">
      <c r="B311" s="16">
        <v>309</v>
      </c>
      <c r="C311" s="18">
        <v>2083.25</v>
      </c>
      <c r="D311" s="18">
        <v>1811.62</v>
      </c>
      <c r="E311" s="18">
        <v>271.63</v>
      </c>
      <c r="F311" s="18">
        <v>99157.69</v>
      </c>
    </row>
    <row r="312" spans="2:6" ht="18" x14ac:dyDescent="0.2">
      <c r="B312" s="16">
        <v>310</v>
      </c>
      <c r="C312" s="18">
        <v>2083.25</v>
      </c>
      <c r="D312" s="18">
        <v>1816.5</v>
      </c>
      <c r="E312" s="18">
        <v>266.75</v>
      </c>
      <c r="F312" s="18">
        <v>97341.19</v>
      </c>
    </row>
    <row r="313" spans="2:6" ht="18" x14ac:dyDescent="0.2">
      <c r="B313" s="16">
        <v>311</v>
      </c>
      <c r="C313" s="18">
        <v>2083.25</v>
      </c>
      <c r="D313" s="18">
        <v>1821.39</v>
      </c>
      <c r="E313" s="18">
        <v>261.86</v>
      </c>
      <c r="F313" s="18">
        <v>95519.8</v>
      </c>
    </row>
    <row r="314" spans="2:6" ht="18" x14ac:dyDescent="0.2">
      <c r="B314" s="16">
        <v>312</v>
      </c>
      <c r="C314" s="18">
        <v>2083.25</v>
      </c>
      <c r="D314" s="18">
        <v>1826.28</v>
      </c>
      <c r="E314" s="18">
        <v>256.97000000000003</v>
      </c>
      <c r="F314" s="18">
        <v>93693.52</v>
      </c>
    </row>
    <row r="315" spans="2:6" ht="18" x14ac:dyDescent="0.2">
      <c r="B315" s="16">
        <v>313</v>
      </c>
      <c r="C315" s="18">
        <v>2083.25</v>
      </c>
      <c r="D315" s="18">
        <v>1831.2</v>
      </c>
      <c r="E315" s="18">
        <v>252.05</v>
      </c>
      <c r="F315" s="18">
        <v>91862.32</v>
      </c>
    </row>
    <row r="316" spans="2:6" ht="18" x14ac:dyDescent="0.2">
      <c r="B316" s="16">
        <v>314</v>
      </c>
      <c r="C316" s="18">
        <v>2083.25</v>
      </c>
      <c r="D316" s="18">
        <v>1836.12</v>
      </c>
      <c r="E316" s="18">
        <v>247.13</v>
      </c>
      <c r="F316" s="18">
        <v>90026.2</v>
      </c>
    </row>
    <row r="317" spans="2:6" ht="18" x14ac:dyDescent="0.2">
      <c r="B317" s="16">
        <v>315</v>
      </c>
      <c r="C317" s="18">
        <v>2083.25</v>
      </c>
      <c r="D317" s="18">
        <v>1841.06</v>
      </c>
      <c r="E317" s="18">
        <v>242.19</v>
      </c>
      <c r="F317" s="18">
        <v>88185.14</v>
      </c>
    </row>
    <row r="318" spans="2:6" ht="18" x14ac:dyDescent="0.2">
      <c r="B318" s="16">
        <v>316</v>
      </c>
      <c r="C318" s="18">
        <v>2083.25</v>
      </c>
      <c r="D318" s="18">
        <v>1846.02</v>
      </c>
      <c r="E318" s="18">
        <v>237.23</v>
      </c>
      <c r="F318" s="18">
        <v>86339.12</v>
      </c>
    </row>
    <row r="319" spans="2:6" ht="18" x14ac:dyDescent="0.2">
      <c r="B319" s="16">
        <v>317</v>
      </c>
      <c r="C319" s="18">
        <v>2083.25</v>
      </c>
      <c r="D319" s="18">
        <v>1850.98</v>
      </c>
      <c r="E319" s="18">
        <v>232.27</v>
      </c>
      <c r="F319" s="18">
        <v>84488.14</v>
      </c>
    </row>
    <row r="320" spans="2:6" ht="18" x14ac:dyDescent="0.2">
      <c r="B320" s="16">
        <v>318</v>
      </c>
      <c r="C320" s="18">
        <v>2083.25</v>
      </c>
      <c r="D320" s="18">
        <v>1855.96</v>
      </c>
      <c r="E320" s="18">
        <v>227.29</v>
      </c>
      <c r="F320" s="18">
        <v>82632.179999999993</v>
      </c>
    </row>
    <row r="321" spans="2:6" ht="18" x14ac:dyDescent="0.2">
      <c r="B321" s="16">
        <v>319</v>
      </c>
      <c r="C321" s="18">
        <v>2083.25</v>
      </c>
      <c r="D321" s="18">
        <v>1860.95</v>
      </c>
      <c r="E321" s="18">
        <v>222.3</v>
      </c>
      <c r="F321" s="18">
        <v>80771.23</v>
      </c>
    </row>
    <row r="322" spans="2:6" ht="18" x14ac:dyDescent="0.2">
      <c r="B322" s="16">
        <v>320</v>
      </c>
      <c r="C322" s="18">
        <v>2083.25</v>
      </c>
      <c r="D322" s="18">
        <v>1865.96</v>
      </c>
      <c r="E322" s="18">
        <v>217.29</v>
      </c>
      <c r="F322" s="18">
        <v>78905.27</v>
      </c>
    </row>
    <row r="323" spans="2:6" ht="18" x14ac:dyDescent="0.2">
      <c r="B323" s="16">
        <v>321</v>
      </c>
      <c r="C323" s="18">
        <v>2083.25</v>
      </c>
      <c r="D323" s="18">
        <v>1870.98</v>
      </c>
      <c r="E323" s="18">
        <v>212.27</v>
      </c>
      <c r="F323" s="18">
        <v>77034.289999999994</v>
      </c>
    </row>
    <row r="324" spans="2:6" ht="18" x14ac:dyDescent="0.2">
      <c r="B324" s="16">
        <v>322</v>
      </c>
      <c r="C324" s="18">
        <v>2083.25</v>
      </c>
      <c r="D324" s="18">
        <v>1876.01</v>
      </c>
      <c r="E324" s="18">
        <v>207.24</v>
      </c>
      <c r="F324" s="18">
        <v>75158.28</v>
      </c>
    </row>
    <row r="325" spans="2:6" ht="18" x14ac:dyDescent="0.2">
      <c r="B325" s="16">
        <v>323</v>
      </c>
      <c r="C325" s="18">
        <v>2083.25</v>
      </c>
      <c r="D325" s="18">
        <v>1881.06</v>
      </c>
      <c r="E325" s="18">
        <v>202.19</v>
      </c>
      <c r="F325" s="18">
        <v>73277.22</v>
      </c>
    </row>
    <row r="326" spans="2:6" ht="18" x14ac:dyDescent="0.2">
      <c r="B326" s="16">
        <v>324</v>
      </c>
      <c r="C326" s="18">
        <v>2083.25</v>
      </c>
      <c r="D326" s="18">
        <v>1886.12</v>
      </c>
      <c r="E326" s="18">
        <v>197.13</v>
      </c>
      <c r="F326" s="18">
        <v>71391.100000000006</v>
      </c>
    </row>
    <row r="327" spans="2:6" ht="18" x14ac:dyDescent="0.2">
      <c r="B327" s="16">
        <v>325</v>
      </c>
      <c r="C327" s="18">
        <v>2083.25</v>
      </c>
      <c r="D327" s="18">
        <v>1891.2</v>
      </c>
      <c r="E327" s="18">
        <v>192.05</v>
      </c>
      <c r="F327" s="18">
        <v>69499.899999999994</v>
      </c>
    </row>
    <row r="328" spans="2:6" ht="18" x14ac:dyDescent="0.2">
      <c r="B328" s="16">
        <v>326</v>
      </c>
      <c r="C328" s="18">
        <v>2083.25</v>
      </c>
      <c r="D328" s="18">
        <v>1896.28</v>
      </c>
      <c r="E328" s="18">
        <v>186.97</v>
      </c>
      <c r="F328" s="18">
        <v>67603.62</v>
      </c>
    </row>
    <row r="329" spans="2:6" ht="18" x14ac:dyDescent="0.2">
      <c r="B329" s="16">
        <v>327</v>
      </c>
      <c r="C329" s="18">
        <v>2083.25</v>
      </c>
      <c r="D329" s="18">
        <v>1901.38</v>
      </c>
      <c r="E329" s="18">
        <v>181.87</v>
      </c>
      <c r="F329" s="18">
        <v>65702.240000000005</v>
      </c>
    </row>
    <row r="330" spans="2:6" ht="18" x14ac:dyDescent="0.2">
      <c r="B330" s="16">
        <v>328</v>
      </c>
      <c r="C330" s="18">
        <v>2083.25</v>
      </c>
      <c r="D330" s="18">
        <v>1906.5</v>
      </c>
      <c r="E330" s="18">
        <v>176.75</v>
      </c>
      <c r="F330" s="18">
        <v>63795.74</v>
      </c>
    </row>
    <row r="331" spans="2:6" ht="18" x14ac:dyDescent="0.2">
      <c r="B331" s="16">
        <v>329</v>
      </c>
      <c r="C331" s="18">
        <v>2083.25</v>
      </c>
      <c r="D331" s="18">
        <v>1911.63</v>
      </c>
      <c r="E331" s="18">
        <v>171.62</v>
      </c>
      <c r="F331" s="18">
        <v>61884.11</v>
      </c>
    </row>
    <row r="332" spans="2:6" ht="18" x14ac:dyDescent="0.2">
      <c r="B332" s="16">
        <v>330</v>
      </c>
      <c r="C332" s="18">
        <v>2083.25</v>
      </c>
      <c r="D332" s="18">
        <v>1916.77</v>
      </c>
      <c r="E332" s="18">
        <v>166.48</v>
      </c>
      <c r="F332" s="18">
        <v>59967.34</v>
      </c>
    </row>
    <row r="333" spans="2:6" ht="18" x14ac:dyDescent="0.2">
      <c r="B333" s="16">
        <v>331</v>
      </c>
      <c r="C333" s="18">
        <v>2083.25</v>
      </c>
      <c r="D333" s="18">
        <v>1921.93</v>
      </c>
      <c r="E333" s="18">
        <v>161.32</v>
      </c>
      <c r="F333" s="18">
        <v>58045.41</v>
      </c>
    </row>
    <row r="334" spans="2:6" ht="18" x14ac:dyDescent="0.2">
      <c r="B334" s="16">
        <v>332</v>
      </c>
      <c r="C334" s="18">
        <v>2083.25</v>
      </c>
      <c r="D334" s="18">
        <v>1927.1</v>
      </c>
      <c r="E334" s="18">
        <v>156.15</v>
      </c>
      <c r="F334" s="18">
        <v>56118.31</v>
      </c>
    </row>
    <row r="335" spans="2:6" ht="18" x14ac:dyDescent="0.2">
      <c r="B335" s="16">
        <v>333</v>
      </c>
      <c r="C335" s="18">
        <v>2083.25</v>
      </c>
      <c r="D335" s="18">
        <v>1932.28</v>
      </c>
      <c r="E335" s="18">
        <v>150.97</v>
      </c>
      <c r="F335" s="18">
        <v>54186.03</v>
      </c>
    </row>
    <row r="336" spans="2:6" ht="18" x14ac:dyDescent="0.2">
      <c r="B336" s="16">
        <v>334</v>
      </c>
      <c r="C336" s="18">
        <v>2083.25</v>
      </c>
      <c r="D336" s="18">
        <v>1937.48</v>
      </c>
      <c r="E336" s="18">
        <v>145.77000000000001</v>
      </c>
      <c r="F336" s="18">
        <v>52248.55</v>
      </c>
    </row>
    <row r="337" spans="2:6" ht="18" x14ac:dyDescent="0.2">
      <c r="B337" s="16">
        <v>335</v>
      </c>
      <c r="C337" s="18">
        <v>2083.25</v>
      </c>
      <c r="D337" s="18">
        <v>1942.69</v>
      </c>
      <c r="E337" s="18">
        <v>140.56</v>
      </c>
      <c r="F337" s="18">
        <v>50305.86</v>
      </c>
    </row>
    <row r="338" spans="2:6" ht="18" x14ac:dyDescent="0.2">
      <c r="B338" s="16">
        <v>336</v>
      </c>
      <c r="C338" s="18">
        <v>2083.25</v>
      </c>
      <c r="D338" s="18">
        <v>1947.92</v>
      </c>
      <c r="E338" s="18">
        <v>135.33000000000001</v>
      </c>
      <c r="F338" s="18">
        <v>48357.94</v>
      </c>
    </row>
    <row r="339" spans="2:6" ht="18" x14ac:dyDescent="0.2">
      <c r="B339" s="16">
        <v>337</v>
      </c>
      <c r="C339" s="18">
        <v>2083.25</v>
      </c>
      <c r="D339" s="18">
        <v>1953.16</v>
      </c>
      <c r="E339" s="18">
        <v>130.09</v>
      </c>
      <c r="F339" s="18">
        <v>46404.78</v>
      </c>
    </row>
    <row r="340" spans="2:6" ht="18" x14ac:dyDescent="0.2">
      <c r="B340" s="16">
        <v>338</v>
      </c>
      <c r="C340" s="18">
        <v>2083.25</v>
      </c>
      <c r="D340" s="18">
        <v>1958.41</v>
      </c>
      <c r="E340" s="18">
        <v>124.84</v>
      </c>
      <c r="F340" s="18">
        <v>44446.37</v>
      </c>
    </row>
    <row r="341" spans="2:6" ht="18" x14ac:dyDescent="0.2">
      <c r="B341" s="16">
        <v>339</v>
      </c>
      <c r="C341" s="18">
        <v>2083.25</v>
      </c>
      <c r="D341" s="18">
        <v>1963.68</v>
      </c>
      <c r="E341" s="18">
        <v>119.57</v>
      </c>
      <c r="F341" s="18">
        <v>42482.69</v>
      </c>
    </row>
    <row r="342" spans="2:6" ht="18" x14ac:dyDescent="0.2">
      <c r="B342" s="16">
        <v>340</v>
      </c>
      <c r="C342" s="18">
        <v>2083.25</v>
      </c>
      <c r="D342" s="18">
        <v>1968.96</v>
      </c>
      <c r="E342" s="18">
        <v>114.29</v>
      </c>
      <c r="F342" s="18">
        <v>40513.730000000003</v>
      </c>
    </row>
    <row r="343" spans="2:6" ht="18" x14ac:dyDescent="0.2">
      <c r="B343" s="16">
        <v>341</v>
      </c>
      <c r="C343" s="18">
        <v>2083.25</v>
      </c>
      <c r="D343" s="18">
        <v>1974.26</v>
      </c>
      <c r="E343" s="18">
        <v>108.99</v>
      </c>
      <c r="F343" s="18">
        <v>38539.47</v>
      </c>
    </row>
    <row r="344" spans="2:6" ht="18" x14ac:dyDescent="0.2">
      <c r="B344" s="16">
        <v>342</v>
      </c>
      <c r="C344" s="18">
        <v>2083.25</v>
      </c>
      <c r="D344" s="18">
        <v>1979.57</v>
      </c>
      <c r="E344" s="18">
        <v>103.68</v>
      </c>
      <c r="F344" s="18">
        <v>36559.9</v>
      </c>
    </row>
    <row r="345" spans="2:6" ht="18" x14ac:dyDescent="0.2">
      <c r="B345" s="16">
        <v>343</v>
      </c>
      <c r="C345" s="18">
        <v>2083.25</v>
      </c>
      <c r="D345" s="18">
        <v>1984.9</v>
      </c>
      <c r="E345" s="18">
        <v>98.35</v>
      </c>
      <c r="F345" s="18">
        <v>34575</v>
      </c>
    </row>
    <row r="346" spans="2:6" ht="18" x14ac:dyDescent="0.2">
      <c r="B346" s="16">
        <v>344</v>
      </c>
      <c r="C346" s="18">
        <v>2083.25</v>
      </c>
      <c r="D346" s="18">
        <v>1990.24</v>
      </c>
      <c r="E346" s="18">
        <v>93.01</v>
      </c>
      <c r="F346" s="18">
        <v>32584.76</v>
      </c>
    </row>
    <row r="347" spans="2:6" ht="18" x14ac:dyDescent="0.2">
      <c r="B347" s="16">
        <v>345</v>
      </c>
      <c r="C347" s="18">
        <v>2083.25</v>
      </c>
      <c r="D347" s="18">
        <v>1995.59</v>
      </c>
      <c r="E347" s="18">
        <v>87.66</v>
      </c>
      <c r="F347" s="18">
        <v>30589.17</v>
      </c>
    </row>
    <row r="348" spans="2:6" ht="18" x14ac:dyDescent="0.2">
      <c r="B348" s="16">
        <v>346</v>
      </c>
      <c r="C348" s="18">
        <v>2083.25</v>
      </c>
      <c r="D348" s="18">
        <v>2000.96</v>
      </c>
      <c r="E348" s="18">
        <v>82.29</v>
      </c>
      <c r="F348" s="18">
        <v>28588.21</v>
      </c>
    </row>
    <row r="349" spans="2:6" ht="18" x14ac:dyDescent="0.2">
      <c r="B349" s="16">
        <v>347</v>
      </c>
      <c r="C349" s="18">
        <v>2083.25</v>
      </c>
      <c r="D349" s="18">
        <v>2006.34</v>
      </c>
      <c r="E349" s="18">
        <v>76.91</v>
      </c>
      <c r="F349" s="18">
        <v>26581.87</v>
      </c>
    </row>
    <row r="350" spans="2:6" ht="18" x14ac:dyDescent="0.2">
      <c r="B350" s="16">
        <v>348</v>
      </c>
      <c r="C350" s="18">
        <v>2083.25</v>
      </c>
      <c r="D350" s="18">
        <v>2011.74</v>
      </c>
      <c r="E350" s="18">
        <v>71.510000000000005</v>
      </c>
      <c r="F350" s="18">
        <v>24570.13</v>
      </c>
    </row>
    <row r="351" spans="2:6" ht="18" x14ac:dyDescent="0.2">
      <c r="B351" s="16">
        <v>349</v>
      </c>
      <c r="C351" s="18">
        <v>2083.25</v>
      </c>
      <c r="D351" s="18">
        <v>2017.15</v>
      </c>
      <c r="E351" s="18">
        <v>66.099999999999994</v>
      </c>
      <c r="F351" s="18">
        <v>22552.98</v>
      </c>
    </row>
    <row r="352" spans="2:6" ht="18" x14ac:dyDescent="0.2">
      <c r="B352" s="16">
        <v>350</v>
      </c>
      <c r="C352" s="18">
        <v>2083.25</v>
      </c>
      <c r="D352" s="18">
        <v>2022.58</v>
      </c>
      <c r="E352" s="18">
        <v>60.67</v>
      </c>
      <c r="F352" s="18">
        <v>20530.400000000001</v>
      </c>
    </row>
    <row r="353" spans="2:6" ht="18" x14ac:dyDescent="0.2">
      <c r="B353" s="16">
        <v>351</v>
      </c>
      <c r="C353" s="18">
        <v>2083.25</v>
      </c>
      <c r="D353" s="18">
        <v>2028.02</v>
      </c>
      <c r="E353" s="18">
        <v>55.23</v>
      </c>
      <c r="F353" s="18">
        <v>18502.38</v>
      </c>
    </row>
    <row r="354" spans="2:6" ht="18" x14ac:dyDescent="0.2">
      <c r="B354" s="16">
        <v>352</v>
      </c>
      <c r="C354" s="18">
        <v>2083.25</v>
      </c>
      <c r="D354" s="18">
        <v>2033.48</v>
      </c>
      <c r="E354" s="18">
        <v>49.77</v>
      </c>
      <c r="F354" s="18">
        <v>16468.900000000001</v>
      </c>
    </row>
    <row r="355" spans="2:6" ht="18" x14ac:dyDescent="0.2">
      <c r="B355" s="16">
        <v>353</v>
      </c>
      <c r="C355" s="18">
        <v>2083.25</v>
      </c>
      <c r="D355" s="18">
        <v>2038.95</v>
      </c>
      <c r="E355" s="18">
        <v>44.3</v>
      </c>
      <c r="F355" s="18">
        <v>14429.95</v>
      </c>
    </row>
    <row r="356" spans="2:6" ht="18" x14ac:dyDescent="0.2">
      <c r="B356" s="16">
        <v>354</v>
      </c>
      <c r="C356" s="18">
        <v>2083.25</v>
      </c>
      <c r="D356" s="18">
        <v>2044.43</v>
      </c>
      <c r="E356" s="18">
        <v>38.82</v>
      </c>
      <c r="F356" s="18">
        <v>12385.52</v>
      </c>
    </row>
    <row r="357" spans="2:6" ht="18" x14ac:dyDescent="0.2">
      <c r="B357" s="16">
        <v>355</v>
      </c>
      <c r="C357" s="18">
        <v>2083.25</v>
      </c>
      <c r="D357" s="18">
        <v>2049.9299999999998</v>
      </c>
      <c r="E357" s="18">
        <v>33.32</v>
      </c>
      <c r="F357" s="18">
        <v>10335.59</v>
      </c>
    </row>
    <row r="358" spans="2:6" ht="18" x14ac:dyDescent="0.2">
      <c r="B358" s="16">
        <v>356</v>
      </c>
      <c r="C358" s="18">
        <v>2083.25</v>
      </c>
      <c r="D358" s="18">
        <v>2055.4499999999998</v>
      </c>
      <c r="E358" s="18">
        <v>27.8</v>
      </c>
      <c r="F358" s="18">
        <v>8280.14</v>
      </c>
    </row>
    <row r="359" spans="2:6" ht="18" x14ac:dyDescent="0.2">
      <c r="B359" s="16">
        <v>357</v>
      </c>
      <c r="C359" s="18">
        <v>2083.25</v>
      </c>
      <c r="D359" s="18">
        <v>2060.9699999999998</v>
      </c>
      <c r="E359" s="18">
        <v>22.28</v>
      </c>
      <c r="F359" s="18">
        <v>6219.17</v>
      </c>
    </row>
    <row r="360" spans="2:6" ht="18" x14ac:dyDescent="0.2">
      <c r="B360" s="16">
        <v>358</v>
      </c>
      <c r="C360" s="18">
        <v>2083.25</v>
      </c>
      <c r="D360" s="18">
        <v>2066.52</v>
      </c>
      <c r="E360" s="18">
        <v>16.73</v>
      </c>
      <c r="F360" s="18">
        <v>4152.6499999999996</v>
      </c>
    </row>
    <row r="361" spans="2:6" ht="18" x14ac:dyDescent="0.2">
      <c r="B361" s="16">
        <v>359</v>
      </c>
      <c r="C361" s="18">
        <v>2083.25</v>
      </c>
      <c r="D361" s="18">
        <v>2072.08</v>
      </c>
      <c r="E361" s="18">
        <v>11.17</v>
      </c>
      <c r="F361" s="18">
        <v>2080.5700000000002</v>
      </c>
    </row>
    <row r="362" spans="2:6" ht="18" x14ac:dyDescent="0.2">
      <c r="B362" s="16">
        <v>360</v>
      </c>
      <c r="C362" s="18">
        <v>2083.25</v>
      </c>
      <c r="D362" s="18">
        <v>2077.65</v>
      </c>
      <c r="E362" s="18">
        <v>5.6</v>
      </c>
      <c r="F362" s="18">
        <v>2.92</v>
      </c>
    </row>
    <row r="363" spans="2:6" ht="18" x14ac:dyDescent="0.2">
      <c r="B363" s="16">
        <v>361</v>
      </c>
      <c r="C363" s="18">
        <v>2.93</v>
      </c>
      <c r="D363" s="18">
        <v>2.92</v>
      </c>
      <c r="E363" s="18">
        <v>0.01</v>
      </c>
      <c r="F363" s="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403-311 Richmond St E</vt:lpstr>
      <vt:lpstr>317-30 Tretti Way</vt:lpstr>
      <vt:lpstr>415-500 Wilson Ave</vt:lpstr>
      <vt:lpstr>First St</vt:lpstr>
      <vt:lpstr>Second Dr</vt:lpstr>
      <vt:lpstr>First St - Mortgage</vt:lpstr>
      <vt:lpstr>Second Dr - Mortgage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Stuart Cooper</dc:creator>
  <cp:lastModifiedBy>Stuart Cooper</cp:lastModifiedBy>
  <dcterms:created xsi:type="dcterms:W3CDTF">2025-08-16T17:54:09Z</dcterms:created>
  <dcterms:modified xsi:type="dcterms:W3CDTF">2025-11-03T01:01:18Z</dcterms:modified>
</cp:coreProperties>
</file>